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5" yWindow="-105" windowWidth="20730" windowHeight="11760"/>
  </bookViews>
  <sheets>
    <sheet name="Sumarry" sheetId="1" r:id="rId1"/>
    <sheet name="Data" sheetId="2" r:id="rId2"/>
    <sheet name="Analysis" sheetId="4" r:id="rId3"/>
    <sheet name="List" sheetId="5" r:id="rId4"/>
  </sheets>
  <externalReferences>
    <externalReference r:id="rId5"/>
    <externalReference r:id="rId6"/>
    <externalReference r:id="rId7"/>
  </externalReferences>
  <definedNames>
    <definedName name="_xlnm._FilterDatabase" localSheetId="3" hidden="1">List!$A$1:$G$1</definedName>
    <definedName name="picture">INDEX(List!$G$2:$G$6,MATCH(List!$I$2,List!$B$2:$B$6,0))</definedName>
  </definedNames>
  <calcPr calcId="144525"/>
  <pivotCaches>
    <pivotCache cacheId="1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" i="4" l="1"/>
  <c r="I2" i="5" s="1"/>
  <c r="AA59" i="4" l="1"/>
  <c r="AA60" i="4"/>
  <c r="AA61" i="4"/>
  <c r="AA62" i="4"/>
  <c r="AA58" i="4"/>
  <c r="Z59" i="4"/>
  <c r="Z60" i="4"/>
  <c r="Z61" i="4"/>
  <c r="Z62" i="4"/>
  <c r="Z58" i="4"/>
  <c r="U55" i="4" l="1"/>
  <c r="T55" i="4" s="1"/>
  <c r="X45" i="4"/>
  <c r="X46" i="4"/>
  <c r="X36" i="4"/>
  <c r="X37" i="4"/>
  <c r="X38" i="4"/>
  <c r="X39" i="4"/>
  <c r="X40" i="4"/>
  <c r="X41" i="4"/>
  <c r="X42" i="4"/>
  <c r="X43" i="4"/>
  <c r="X44" i="4"/>
  <c r="X35" i="4"/>
  <c r="Z36" i="4"/>
  <c r="Z37" i="4"/>
  <c r="Z38" i="4"/>
  <c r="Z39" i="4"/>
  <c r="Z40" i="4"/>
  <c r="Z41" i="4"/>
  <c r="Z42" i="4"/>
  <c r="Z43" i="4"/>
  <c r="Z44" i="4"/>
  <c r="Z45" i="4"/>
  <c r="Z46" i="4"/>
  <c r="Z35" i="4"/>
  <c r="Y36" i="4"/>
  <c r="Y37" i="4"/>
  <c r="Y38" i="4"/>
  <c r="Y39" i="4"/>
  <c r="Y40" i="4"/>
  <c r="Y41" i="4"/>
  <c r="Y42" i="4"/>
  <c r="Y43" i="4"/>
  <c r="Y44" i="4"/>
  <c r="Y45" i="4"/>
  <c r="Y46" i="4"/>
  <c r="Y35" i="4"/>
  <c r="AB22" i="4"/>
  <c r="AB23" i="4"/>
  <c r="AB24" i="4"/>
  <c r="AB25" i="4"/>
  <c r="AB26" i="4"/>
  <c r="AB27" i="4"/>
  <c r="AB28" i="4"/>
  <c r="AB29" i="4"/>
  <c r="AB30" i="4"/>
  <c r="AB31" i="4"/>
  <c r="AB32" i="4"/>
  <c r="AB21" i="4"/>
  <c r="AA22" i="4"/>
  <c r="AA23" i="4"/>
  <c r="AA24" i="4"/>
  <c r="AA25" i="4"/>
  <c r="AA26" i="4"/>
  <c r="AA27" i="4"/>
  <c r="AA28" i="4"/>
  <c r="AA29" i="4"/>
  <c r="AA30" i="4"/>
  <c r="AA31" i="4"/>
  <c r="AA32" i="4"/>
  <c r="AA21" i="4"/>
  <c r="U52" i="4"/>
  <c r="T52" i="4" s="1"/>
  <c r="U35" i="4"/>
  <c r="V35" i="4" s="1"/>
  <c r="U37" i="4"/>
  <c r="T37" i="4" s="1"/>
  <c r="U39" i="4"/>
  <c r="T39" i="4" s="1"/>
  <c r="U41" i="4"/>
  <c r="U56" i="4" l="1"/>
  <c r="U53" i="4"/>
  <c r="B6" i="4" l="1"/>
  <c r="J1" i="5" l="1"/>
  <c r="F1" i="5"/>
  <c r="B8" i="4"/>
  <c r="B5" i="4"/>
  <c r="B4" i="4"/>
  <c r="Q337" i="2"/>
  <c r="Q336" i="2"/>
  <c r="Q335" i="2"/>
  <c r="Q334" i="2"/>
  <c r="Q333" i="2"/>
  <c r="Q332" i="2"/>
  <c r="Q331" i="2"/>
  <c r="Q330" i="2"/>
  <c r="Q329" i="2"/>
  <c r="Q328" i="2"/>
  <c r="L327" i="2"/>
  <c r="Q327" i="2" s="1"/>
  <c r="J327" i="2"/>
  <c r="H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C26" i="4" l="1"/>
  <c r="C27" i="4"/>
  <c r="C24" i="4"/>
  <c r="B25" i="4"/>
  <c r="B26" i="4"/>
  <c r="C25" i="4"/>
  <c r="B27" i="4"/>
  <c r="B24" i="4"/>
  <c r="C19" i="4"/>
  <c r="B19" i="4"/>
  <c r="B21" i="4"/>
  <c r="C21" i="4"/>
  <c r="B20" i="4"/>
  <c r="B22" i="4"/>
  <c r="C20" i="4"/>
  <c r="C22" i="4"/>
  <c r="C9" i="4"/>
  <c r="C16" i="4"/>
  <c r="C17" i="4"/>
  <c r="C14" i="4"/>
  <c r="B15" i="4"/>
  <c r="B16" i="4"/>
  <c r="B17" i="4"/>
  <c r="B14" i="4"/>
  <c r="C15" i="4"/>
  <c r="B12" i="4"/>
  <c r="C12" i="4"/>
  <c r="C11" i="4"/>
  <c r="C10" i="4"/>
  <c r="B11" i="4"/>
  <c r="B10" i="4"/>
  <c r="B9" i="4"/>
</calcChain>
</file>

<file path=xl/comments1.xml><?xml version="1.0" encoding="utf-8"?>
<comments xmlns="http://schemas.openxmlformats.org/spreadsheetml/2006/main">
  <authors>
    <author>tc={106E62EC-91C5-484B-8526-96D6548CF5D5}</author>
  </authors>
  <commentList>
    <comment ref="A1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refresh all after loading new data.. ignore the error</t>
        </r>
      </text>
    </comment>
  </commentList>
</comments>
</file>

<file path=xl/sharedStrings.xml><?xml version="1.0" encoding="utf-8"?>
<sst xmlns="http://schemas.openxmlformats.org/spreadsheetml/2006/main" count="2267" uniqueCount="90">
  <si>
    <t>Segment</t>
  </si>
  <si>
    <t>Employee</t>
  </si>
  <si>
    <t>Product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</si>
  <si>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</si>
  <si>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</si>
  <si>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</si>
  <si>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</si>
  <si>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</si>
  <si>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</si>
  <si>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</si>
  <si>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</si>
  <si>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Profit</t>
  </si>
  <si>
    <t>Date</t>
  </si>
  <si>
    <t>Month Number</t>
  </si>
  <si>
    <t>Month Name</t>
  </si>
  <si>
    <t>Year</t>
  </si>
  <si>
    <t>Profit per Unit</t>
  </si>
  <si>
    <t>Government</t>
  </si>
  <si>
    <t>Peter Jones</t>
  </si>
  <si>
    <t>Computer</t>
  </si>
  <si>
    <t>None</t>
  </si>
  <si>
    <t>January</t>
  </si>
  <si>
    <t>2014</t>
  </si>
  <si>
    <t>Shane Bond</t>
  </si>
  <si>
    <t>Midmarket</t>
  </si>
  <si>
    <t>Leo Paul</t>
  </si>
  <si>
    <t>June</t>
  </si>
  <si>
    <t>Ashley Thomas</t>
  </si>
  <si>
    <t>December</t>
  </si>
  <si>
    <t>Printer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</si>
  <si>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</si>
  <si>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</si>
  <si>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</si>
  <si>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</si>
  <si>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</si>
  <si>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</si>
  <si>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</si>
  <si>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John Terry</t>
  </si>
  <si>
    <t>Projector</t>
  </si>
  <si>
    <t>February</t>
  </si>
  <si>
    <t>October</t>
  </si>
  <si>
    <t>Phone</t>
  </si>
  <si>
    <t>April</t>
  </si>
  <si>
    <t>Low</t>
  </si>
  <si>
    <t>May</t>
  </si>
  <si>
    <t>November</t>
  </si>
  <si>
    <t>Medium</t>
  </si>
  <si>
    <t>High</t>
  </si>
  <si>
    <t>Row Labels</t>
  </si>
  <si>
    <t>Grand Total</t>
  </si>
  <si>
    <t>Sum of  Sales</t>
  </si>
  <si>
    <t>Sum of Profit</t>
  </si>
  <si>
    <t>Sales</t>
  </si>
  <si>
    <t>Matching raw</t>
  </si>
  <si>
    <t>Employees</t>
  </si>
  <si>
    <t>Products</t>
  </si>
  <si>
    <t>Customer Category</t>
  </si>
  <si>
    <t>No of Employee&gt;</t>
  </si>
  <si>
    <t>Cell Link</t>
  </si>
  <si>
    <t>pjones@companyx.com</t>
  </si>
  <si>
    <t>sbond@companyx.com</t>
  </si>
  <si>
    <t>lpaul@companyx.com</t>
  </si>
  <si>
    <t>Athomas@companyx.com</t>
  </si>
  <si>
    <t>jterry@companyx.com</t>
  </si>
  <si>
    <t>Sum of Units Sold</t>
  </si>
  <si>
    <t>Sum of Margin</t>
  </si>
  <si>
    <t>Profit / unit</t>
  </si>
  <si>
    <t>Sum of Profit / Unit</t>
  </si>
  <si>
    <t>Profit / Unit</t>
  </si>
  <si>
    <t>Average of Profit / Unit</t>
  </si>
  <si>
    <t xml:space="preserve">Sum of Unit Sold </t>
  </si>
  <si>
    <t>Sum of Sum oF Margin</t>
  </si>
  <si>
    <t>UNIT SOLD</t>
  </si>
  <si>
    <t>Data for Dashboard</t>
  </si>
  <si>
    <t>Monthly Average</t>
  </si>
  <si>
    <t>Average Sale Price</t>
  </si>
  <si>
    <t>Average Profit/Unit</t>
  </si>
  <si>
    <t>Highest Unit Sales</t>
  </si>
  <si>
    <t>Top Segment Amount</t>
  </si>
  <si>
    <t>Top Segment Name</t>
  </si>
  <si>
    <t>Top Month</t>
  </si>
  <si>
    <t>Top Month Amount</t>
  </si>
  <si>
    <t>% of total</t>
  </si>
  <si>
    <t>Top Segment amount</t>
  </si>
  <si>
    <t>Top segment name</t>
  </si>
  <si>
    <t>Average of Profit per Unit</t>
  </si>
  <si>
    <t>NC NAME</t>
  </si>
  <si>
    <t>PROFIT/UNIT</t>
  </si>
  <si>
    <t>PIC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</si>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</sst>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44" fontId="1" fillId="0" borderId="0" xfId="1" applyFont="1"/>
    <xf numFmtId="44" fontId="0" fillId="0" borderId="0" xfId="1" applyFont="1"/>
    <xf numFmtId="14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0" fontId="0" fillId="2" borderId="0" xfId="0" applyFill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2" applyNumberFormat="1" applyFont="1"/>
    <xf numFmtId="0" fontId="2" fillId="4" borderId="0" xfId="0" applyFont="1" applyFill="1"/>
    <xf numFmtId="0" fontId="4" fillId="4" borderId="0" xfId="0" applyFont="1" applyFill="1"/>
    <xf numFmtId="0" fontId="7" fillId="5" borderId="0" xfId="0" applyFont="1" applyFill="1"/>
    <xf numFmtId="0" fontId="8" fillId="5" borderId="0" xfId="0" applyFont="1" applyFill="1"/>
    <xf numFmtId="0" fontId="5" fillId="0" borderId="0" xfId="0" applyFont="1"/>
    <xf numFmtId="0" fontId="6" fillId="0" borderId="0" xfId="3"/>
    <xf numFmtId="2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164" fontId="5" fillId="0" borderId="0" xfId="2" applyNumberFormat="1" applyFont="1"/>
    <xf numFmtId="1" fontId="0" fillId="0" borderId="0" xfId="0" applyNumberFormat="1"/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center" vertical="center"/>
    </xf>
    <xf numFmtId="1" fontId="0" fillId="3" borderId="0" xfId="0" applyNumberFormat="1" applyFill="1"/>
    <xf numFmtId="164" fontId="0" fillId="3" borderId="0" xfId="2" applyNumberFormat="1" applyFont="1" applyFill="1"/>
    <xf numFmtId="164" fontId="2" fillId="0" borderId="0" xfId="2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10" fillId="2" borderId="0" xfId="0" applyFont="1" applyFill="1"/>
    <xf numFmtId="0" fontId="4" fillId="6" borderId="0" xfId="0" applyFont="1" applyFill="1"/>
    <xf numFmtId="1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11" fillId="0" borderId="0" xfId="0" applyFont="1"/>
    <xf numFmtId="164" fontId="11" fillId="0" borderId="0" xfId="0" applyNumberFormat="1" applyFont="1"/>
    <xf numFmtId="0" fontId="9" fillId="4" borderId="0" xfId="0" applyFont="1" applyFill="1" applyAlignment="1">
      <alignment horizontal="center" vertical="center"/>
    </xf>
  </cellXfs>
  <cellStyles count="4">
    <cellStyle name="Comma" xfId="2" builtinId="3"/>
    <cellStyle name="Currency" xfId="1" builtinId="4"/>
    <cellStyle name="Hyperlink" xfId="3" builtinId="8"/>
    <cellStyle name="Normal" xfId="0" builtinId="0"/>
  </cellStyles>
  <dxfs count="34">
    <dxf>
      <numFmt numFmtId="164" formatCode="_ * #,##0_ ;_ * \-#,##0_ ;_ * &quot;-&quot;??_ ;_ @_ "/>
    </dxf>
    <dxf>
      <numFmt numFmtId="164" formatCode="_ * #,##0_ ;_ * \-#,##0_ ;_ * &quot;-&quot;??_ ;_ @_ "/>
    </dxf>
    <dxf>
      <numFmt numFmtId="35" formatCode="_ * #,##0.00_ ;_ * \-#,##0.00_ ;_ * &quot;-&quot;??_ ;_ @_ "/>
    </dxf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Unit Sold Per Margin</a:t>
            </a:r>
          </a:p>
        </c:rich>
      </c:tx>
      <c:layout>
        <c:manualLayout>
          <c:xMode val="edge"/>
          <c:yMode val="edge"/>
          <c:x val="2.44845086246138E-2"/>
          <c:y val="2.427012152115347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039709058507908"/>
          <c:y val="0.28117115867124542"/>
          <c:w val="0.8006640097052895"/>
          <c:h val="0.53833259050165894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Analysis!$AA$21:$AA$32</c:f>
              <c:numCache>
                <c:formatCode>0</c:formatCode>
                <c:ptCount val="12"/>
                <c:pt idx="0">
                  <c:v>4266</c:v>
                </c:pt>
                <c:pt idx="1">
                  <c:v>7410</c:v>
                </c:pt>
                <c:pt idx="2">
                  <c:v>3925</c:v>
                </c:pt>
                <c:pt idx="3">
                  <c:v>10672</c:v>
                </c:pt>
                <c:pt idx="4">
                  <c:v>7222</c:v>
                </c:pt>
                <c:pt idx="5">
                  <c:v>9119</c:v>
                </c:pt>
                <c:pt idx="6">
                  <c:v>5509</c:v>
                </c:pt>
                <c:pt idx="7">
                  <c:v>7774</c:v>
                </c:pt>
                <c:pt idx="8">
                  <c:v>8314</c:v>
                </c:pt>
                <c:pt idx="9">
                  <c:v>6290</c:v>
                </c:pt>
                <c:pt idx="10">
                  <c:v>7091</c:v>
                </c:pt>
                <c:pt idx="11">
                  <c:v>11934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5216"/>
        <c:axId val="248595200"/>
      </c:line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Analysis!$AB$21:$AB$32</c:f>
              <c:numCache>
                <c:formatCode>0%</c:formatCode>
                <c:ptCount val="12"/>
                <c:pt idx="0">
                  <c:v>0.13160573109688153</c:v>
                </c:pt>
                <c:pt idx="1">
                  <c:v>0.25038092828502534</c:v>
                </c:pt>
                <c:pt idx="2">
                  <c:v>0.14365087270755167</c:v>
                </c:pt>
                <c:pt idx="3">
                  <c:v>0.11084682230702884</c:v>
                </c:pt>
                <c:pt idx="4">
                  <c:v>0.14730260520792809</c:v>
                </c:pt>
                <c:pt idx="5">
                  <c:v>0.18554630006377795</c:v>
                </c:pt>
                <c:pt idx="6">
                  <c:v>7.6906182933454581E-2</c:v>
                </c:pt>
                <c:pt idx="7">
                  <c:v>0.16748629089235431</c:v>
                </c:pt>
                <c:pt idx="8">
                  <c:v>0.25233374759962807</c:v>
                </c:pt>
                <c:pt idx="9">
                  <c:v>0.13678227226667278</c:v>
                </c:pt>
                <c:pt idx="10">
                  <c:v>0.13244484157240519</c:v>
                </c:pt>
                <c:pt idx="11">
                  <c:v>0.18285882080392249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98528"/>
        <c:axId val="248596736"/>
      </c:lineChart>
      <c:catAx>
        <c:axId val="248585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48595200"/>
        <c:crosses val="autoZero"/>
        <c:auto val="1"/>
        <c:lblAlgn val="ctr"/>
        <c:lblOffset val="100"/>
        <c:noMultiLvlLbl val="0"/>
      </c:catAx>
      <c:valAx>
        <c:axId val="248595200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585216"/>
        <c:crosses val="autoZero"/>
        <c:crossBetween val="between"/>
        <c:majorUnit val="5000"/>
      </c:valAx>
      <c:valAx>
        <c:axId val="2485967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598528"/>
        <c:crosses val="max"/>
        <c:crossBetween val="between"/>
      </c:valAx>
      <c:catAx>
        <c:axId val="248598528"/>
        <c:scaling>
          <c:orientation val="minMax"/>
        </c:scaling>
        <c:delete val="1"/>
        <c:axPos val="t"/>
        <c:majorTickMark val="out"/>
        <c:minorTickMark val="none"/>
        <c:tickLblPos val="nextTo"/>
        <c:crossAx val="248596736"/>
        <c:crosses val="max"/>
        <c:auto val="1"/>
        <c:lblAlgn val="ctr"/>
        <c:lblOffset val="100"/>
        <c:noMultiLvlLbl val="0"/>
      </c:catAx>
      <c:spPr>
        <a:solidFill>
          <a:schemeClr val="accent5">
            <a:lumMod val="75000"/>
          </a:schemeClr>
        </a:solid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Analysis!$Y$35:$Y$46</c:f>
              <c:numCache>
                <c:formatCode>General</c:formatCode>
                <c:ptCount val="12"/>
                <c:pt idx="0">
                  <c:v>484779.8</c:v>
                </c:pt>
                <c:pt idx="1">
                  <c:v>525597.62</c:v>
                </c:pt>
                <c:pt idx="2">
                  <c:v>451755</c:v>
                </c:pt>
                <c:pt idx="3">
                  <c:v>1353872.46</c:v>
                </c:pt>
                <c:pt idx="4">
                  <c:v>1286300.3999999999</c:v>
                </c:pt>
                <c:pt idx="5">
                  <c:v>1025589.3</c:v>
                </c:pt>
                <c:pt idx="6">
                  <c:v>778611</c:v>
                </c:pt>
                <c:pt idx="7">
                  <c:v>598058.62</c:v>
                </c:pt>
                <c:pt idx="8">
                  <c:v>719706.14999999991</c:v>
                </c:pt>
                <c:pt idx="9">
                  <c:v>1190749.4100000001</c:v>
                </c:pt>
                <c:pt idx="10">
                  <c:v>541667</c:v>
                </c:pt>
                <c:pt idx="11">
                  <c:v>1887885.52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864768"/>
        <c:axId val="24886630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Analysis!$Z$35:$Z$46</c:f>
              <c:numCache>
                <c:formatCode>0%</c:formatCode>
                <c:ptCount val="12"/>
                <c:pt idx="0">
                  <c:v>0.13160573109688153</c:v>
                </c:pt>
                <c:pt idx="1">
                  <c:v>0.25038092828502534</c:v>
                </c:pt>
                <c:pt idx="2">
                  <c:v>0.14365087270755167</c:v>
                </c:pt>
                <c:pt idx="3">
                  <c:v>0.11084682230702884</c:v>
                </c:pt>
                <c:pt idx="4">
                  <c:v>0.14730260520792809</c:v>
                </c:pt>
                <c:pt idx="5">
                  <c:v>0.18554630006377795</c:v>
                </c:pt>
                <c:pt idx="6">
                  <c:v>7.6906182933454581E-2</c:v>
                </c:pt>
                <c:pt idx="7">
                  <c:v>0.16748629089235431</c:v>
                </c:pt>
                <c:pt idx="8">
                  <c:v>0.25233374759962807</c:v>
                </c:pt>
                <c:pt idx="9">
                  <c:v>0.13678227226667278</c:v>
                </c:pt>
                <c:pt idx="10">
                  <c:v>0.13244484157240519</c:v>
                </c:pt>
                <c:pt idx="11">
                  <c:v>0.18285882080392249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869632"/>
        <c:axId val="248867840"/>
      </c:lineChart>
      <c:catAx>
        <c:axId val="2488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66304"/>
        <c:crosses val="autoZero"/>
        <c:auto val="1"/>
        <c:lblAlgn val="ctr"/>
        <c:lblOffset val="100"/>
        <c:noMultiLvlLbl val="0"/>
      </c:catAx>
      <c:valAx>
        <c:axId val="24886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64768"/>
        <c:crosses val="autoZero"/>
        <c:crossBetween val="between"/>
      </c:valAx>
      <c:valAx>
        <c:axId val="2488678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69632"/>
        <c:crosses val="max"/>
        <c:crossBetween val="between"/>
      </c:valAx>
      <c:catAx>
        <c:axId val="24886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867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fmlaLink="Analysis!$H$1" fmlaRange="List!$B$2:$B$6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0.emf"/><Relationship Id="rId3" Type="http://schemas.openxmlformats.org/officeDocument/2006/relationships/image" Target="../media/image3.emf"/><Relationship Id="rId7" Type="http://schemas.openxmlformats.org/officeDocument/2006/relationships/image" Target="../media/image5.png"/><Relationship Id="rId12" Type="http://schemas.microsoft.com/office/2007/relationships/hdphoto" Target="../media/hdphoto1.wdp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chart" Target="../charts/chart2.xml"/><Relationship Id="rId11" Type="http://schemas.openxmlformats.org/officeDocument/2006/relationships/image" Target="../media/image9.png"/><Relationship Id="rId5" Type="http://schemas.openxmlformats.org/officeDocument/2006/relationships/chart" Target="../charts/chart1.xml"/><Relationship Id="rId10" Type="http://schemas.openxmlformats.org/officeDocument/2006/relationships/image" Target="../media/image8.emf"/><Relationship Id="rId4" Type="http://schemas.openxmlformats.org/officeDocument/2006/relationships/image" Target="../media/image4.emf"/><Relationship Id="rId9" Type="http://schemas.openxmlformats.org/officeDocument/2006/relationships/image" Target="../media/image7.emf"/><Relationship Id="rId1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jpeg"/><Relationship Id="rId2" Type="http://schemas.openxmlformats.org/officeDocument/2006/relationships/image" Target="../media/image22.jpg"/><Relationship Id="rId1" Type="http://schemas.openxmlformats.org/officeDocument/2006/relationships/image" Target="../media/image21.jpeg"/><Relationship Id="rId6" Type="http://schemas.openxmlformats.org/officeDocument/2006/relationships/image" Target="../media/image26.emf"/><Relationship Id="rId5" Type="http://schemas.openxmlformats.org/officeDocument/2006/relationships/image" Target="../media/image25.jpeg"/><Relationship Id="rId4" Type="http://schemas.openxmlformats.org/officeDocument/2006/relationships/image" Target="../media/image24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243840</xdr:colOff>
      <xdr:row>8</xdr:row>
      <xdr:rowOff>0</xdr:rowOff>
    </xdr:from>
    <xdr:to>
      <xdr:col>15</xdr:col>
      <xdr:colOff>518160</xdr:colOff>
      <xdr:row>14</xdr:row>
      <xdr:rowOff>45720</xdr:rowOff>
    </xdr:to>
    <xdr:sp macro="" textlink="">
      <xdr:nvSpPr>
        <xdr:cNvPr id="172" name="Rectangle 171">
          <a:extLst>
            <a:ext uri="{FF2B5EF4-FFF2-40B4-BE49-F238E27FC236}">
              <a16:creationId xmlns="" xmlns:a16="http://schemas.microsoft.com/office/drawing/2014/main" id="{00000000-0008-0000-0000-0000AC000000}"/>
            </a:ext>
          </a:extLst>
        </xdr:cNvPr>
        <xdr:cNvSpPr/>
      </xdr:nvSpPr>
      <xdr:spPr>
        <a:xfrm>
          <a:off x="5730240" y="1463040"/>
          <a:ext cx="3931920" cy="1143000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47065</xdr:colOff>
      <xdr:row>0</xdr:row>
      <xdr:rowOff>27454</xdr:rowOff>
    </xdr:from>
    <xdr:to>
      <xdr:col>3</xdr:col>
      <xdr:colOff>38100</xdr:colOff>
      <xdr:row>60</xdr:row>
      <xdr:rowOff>16152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47065" y="27454"/>
          <a:ext cx="1819835" cy="11085323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1</xdr:row>
      <xdr:rowOff>172279</xdr:rowOff>
    </xdr:from>
    <xdr:to>
      <xdr:col>16</xdr:col>
      <xdr:colOff>6626</xdr:colOff>
      <xdr:row>2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1828800" y="357809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13252</xdr:colOff>
      <xdr:row>4</xdr:row>
      <xdr:rowOff>53008</xdr:rowOff>
    </xdr:from>
    <xdr:to>
      <xdr:col>16</xdr:col>
      <xdr:colOff>19878</xdr:colOff>
      <xdr:row>4</xdr:row>
      <xdr:rowOff>66260</xdr:rowOff>
    </xdr:to>
    <xdr:cxnSp macro="">
      <xdr:nvCxnSpPr>
        <xdr:cNvPr id="5" name="Straight Connector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1842052" y="795130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72886</xdr:colOff>
      <xdr:row>8</xdr:row>
      <xdr:rowOff>13252</xdr:rowOff>
    </xdr:from>
    <xdr:to>
      <xdr:col>8</xdr:col>
      <xdr:colOff>563879</xdr:colOff>
      <xdr:row>16</xdr:row>
      <xdr:rowOff>66260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901686" y="1476292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36774</xdr:colOff>
      <xdr:row>7</xdr:row>
      <xdr:rowOff>55990</xdr:rowOff>
    </xdr:from>
    <xdr:to>
      <xdr:col>7</xdr:col>
      <xdr:colOff>160020</xdr:colOff>
      <xdr:row>8</xdr:row>
      <xdr:rowOff>0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865574" y="1336150"/>
          <a:ext cx="2561646" cy="12689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8</xdr:row>
      <xdr:rowOff>15240</xdr:rowOff>
    </xdr:from>
    <xdr:to>
      <xdr:col>8</xdr:col>
      <xdr:colOff>563880</xdr:colOff>
      <xdr:row>8</xdr:row>
      <xdr:rowOff>20052</xdr:rowOff>
    </xdr:to>
    <xdr:cxnSp macro="">
      <xdr:nvCxnSpPr>
        <xdr:cNvPr id="8" name="Straight Connector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7</xdr:row>
      <xdr:rowOff>15767</xdr:rowOff>
    </xdr:from>
    <xdr:to>
      <xdr:col>4</xdr:col>
      <xdr:colOff>541282</xdr:colOff>
      <xdr:row>8</xdr:row>
      <xdr:rowOff>10511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823545" y="1303284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Sales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8</xdr:row>
      <xdr:rowOff>47298</xdr:rowOff>
    </xdr:from>
    <xdr:to>
      <xdr:col>4</xdr:col>
      <xdr:colOff>557048</xdr:colOff>
      <xdr:row>9</xdr:row>
      <xdr:rowOff>42042</xdr:rowOff>
    </xdr:to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839311" y="1518746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Sales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495300</xdr:colOff>
      <xdr:row>8</xdr:row>
      <xdr:rowOff>114300</xdr:rowOff>
    </xdr:from>
    <xdr:to>
      <xdr:col>7</xdr:col>
      <xdr:colOff>342900</xdr:colOff>
      <xdr:row>12</xdr:row>
      <xdr:rowOff>144780</xdr:rowOff>
    </xdr:to>
    <xdr:sp macro="" textlink="Analysis!B4">
      <xdr:nvSpPr>
        <xdr:cNvPr id="13" name="TextBox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714500" y="1577340"/>
          <a:ext cx="28956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1DC376C-95D3-4977-881C-5E512B599C0A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 1,08,44,572 </a:t>
          </a:fld>
          <a:endParaRPr lang="en-IN" sz="960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0</xdr:rowOff>
        </xdr:from>
        <xdr:to>
          <xdr:col>8</xdr:col>
          <xdr:colOff>571500</xdr:colOff>
          <xdr:row>12</xdr:row>
          <xdr:rowOff>0</xdr:rowOff>
        </xdr:to>
        <xdr:pic>
          <xdr:nvPicPr>
            <xdr:cNvPr id="16" name="Pictur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9:$C$12" spid="_x0000_s33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463040"/>
              <a:ext cx="106680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28575</xdr:rowOff>
        </xdr:from>
        <xdr:to>
          <xdr:col>2</xdr:col>
          <xdr:colOff>190500</xdr:colOff>
          <xdr:row>14</xdr:row>
          <xdr:rowOff>66675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72886</xdr:colOff>
      <xdr:row>21</xdr:row>
      <xdr:rowOff>13252</xdr:rowOff>
    </xdr:from>
    <xdr:to>
      <xdr:col>8</xdr:col>
      <xdr:colOff>563879</xdr:colOff>
      <xdr:row>29</xdr:row>
      <xdr:rowOff>66260</xdr:rowOff>
    </xdr:to>
    <xdr:sp macro="" textlink="">
      <xdr:nvSpPr>
        <xdr:cNvPr id="14" name="Rectangle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1901686" y="3853732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74875</xdr:colOff>
      <xdr:row>20</xdr:row>
      <xdr:rowOff>55990</xdr:rowOff>
    </xdr:from>
    <xdr:to>
      <xdr:col>7</xdr:col>
      <xdr:colOff>106681</xdr:colOff>
      <xdr:row>21</xdr:row>
      <xdr:rowOff>22860</xdr:rowOff>
    </xdr:to>
    <xdr:sp macro="" textlink="">
      <xdr:nvSpPr>
        <xdr:cNvPr id="15" name="Rectangle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903675" y="3713590"/>
          <a:ext cx="2470206" cy="1497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21</xdr:row>
      <xdr:rowOff>15240</xdr:rowOff>
    </xdr:from>
    <xdr:to>
      <xdr:col>8</xdr:col>
      <xdr:colOff>563880</xdr:colOff>
      <xdr:row>21</xdr:row>
      <xdr:rowOff>20052</xdr:rowOff>
    </xdr:to>
    <xdr:cxnSp macro="">
      <xdr:nvCxnSpPr>
        <xdr:cNvPr id="17" name="Straight Connector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20</xdr:row>
      <xdr:rowOff>15767</xdr:rowOff>
    </xdr:from>
    <xdr:to>
      <xdr:col>4</xdr:col>
      <xdr:colOff>541282</xdr:colOff>
      <xdr:row>21</xdr:row>
      <xdr:rowOff>10511</xdr:rowOff>
    </xdr:to>
    <xdr:sp macro="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823545" y="1295927"/>
          <a:ext cx="1156137" cy="177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Profit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21</xdr:row>
      <xdr:rowOff>47298</xdr:rowOff>
    </xdr:from>
    <xdr:to>
      <xdr:col>5</xdr:col>
      <xdr:colOff>228600</xdr:colOff>
      <xdr:row>22</xdr:row>
      <xdr:rowOff>38100</xdr:rowOff>
    </xdr:to>
    <xdr:sp macro="" textlink="">
      <xdr:nvSpPr>
        <xdr:cNvPr id="19" name="TextBox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839311" y="3887778"/>
          <a:ext cx="1437289" cy="17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Profit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487680</xdr:colOff>
      <xdr:row>21</xdr:row>
      <xdr:rowOff>83820</xdr:rowOff>
    </xdr:from>
    <xdr:to>
      <xdr:col>6</xdr:col>
      <xdr:colOff>449580</xdr:colOff>
      <xdr:row>25</xdr:row>
      <xdr:rowOff>114300</xdr:rowOff>
    </xdr:to>
    <xdr:sp macro="" textlink="Analysis!B5">
      <xdr:nvSpPr>
        <xdr:cNvPr id="20" name="TextBox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706880" y="3924300"/>
          <a:ext cx="24003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8B8A6C2-DD0A-4F89-89AA-1F0CA372008F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 17,11,620 </a:t>
          </a:fld>
          <a:endParaRPr lang="en-IN" sz="32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21</xdr:row>
          <xdr:rowOff>0</xdr:rowOff>
        </xdr:from>
        <xdr:to>
          <xdr:col>8</xdr:col>
          <xdr:colOff>586740</xdr:colOff>
          <xdr:row>25</xdr:row>
          <xdr:rowOff>0</xdr:rowOff>
        </xdr:to>
        <xdr:pic>
          <xdr:nvPicPr>
            <xdr:cNvPr id="25" name="Picture 24">
              <a:extLst>
                <a:ext uri="{FF2B5EF4-FFF2-40B4-BE49-F238E27FC236}">
                  <a16:creationId xmlns="" xmlns:a16="http://schemas.microsoft.com/office/drawing/2014/main" id="{00000000-0008-0000-00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14:$C$17" spid="_x0000_s331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328160" y="3840480"/>
              <a:ext cx="113538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31</xdr:row>
      <xdr:rowOff>0</xdr:rowOff>
    </xdr:from>
    <xdr:to>
      <xdr:col>7</xdr:col>
      <xdr:colOff>212464</xdr:colOff>
      <xdr:row>31</xdr:row>
      <xdr:rowOff>155358</xdr:rowOff>
    </xdr:to>
    <xdr:sp macro="" textlink="">
      <xdr:nvSpPr>
        <xdr:cNvPr id="26" name="TextBox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828800" y="5669280"/>
          <a:ext cx="2650864" cy="1553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PROFITABILIY</a:t>
          </a:r>
          <a:r>
            <a:rPr lang="en-US" sz="10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/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UNT SOLD</a:t>
          </a:r>
          <a:endParaRPr lang="en-US" sz="10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449580</xdr:colOff>
      <xdr:row>6</xdr:row>
      <xdr:rowOff>160020</xdr:rowOff>
    </xdr:from>
    <xdr:to>
      <xdr:col>9</xdr:col>
      <xdr:colOff>160020</xdr:colOff>
      <xdr:row>8</xdr:row>
      <xdr:rowOff>15240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4107180" y="12573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Breakdown BY</a:t>
          </a:r>
          <a:r>
            <a:rPr lang="en-IN" sz="1000" baseline="0"/>
            <a:t> </a:t>
          </a:r>
          <a:r>
            <a:rPr lang="en-IN" sz="1000"/>
            <a:t>Product</a:t>
          </a:r>
        </a:p>
      </xdr:txBody>
    </xdr:sp>
    <xdr:clientData/>
  </xdr:twoCellAnchor>
  <xdr:twoCellAnchor>
    <xdr:from>
      <xdr:col>6</xdr:col>
      <xdr:colOff>388620</xdr:colOff>
      <xdr:row>19</xdr:row>
      <xdr:rowOff>160020</xdr:rowOff>
    </xdr:from>
    <xdr:to>
      <xdr:col>9</xdr:col>
      <xdr:colOff>99060</xdr:colOff>
      <xdr:row>21</xdr:row>
      <xdr:rowOff>15240</xdr:rowOff>
    </xdr:to>
    <xdr:sp macro="" textlink="">
      <xdr:nvSpPr>
        <xdr:cNvPr id="28" name="Rectangle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4046220" y="363474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6</xdr:col>
      <xdr:colOff>266700</xdr:colOff>
      <xdr:row>30</xdr:row>
      <xdr:rowOff>152400</xdr:rowOff>
    </xdr:from>
    <xdr:to>
      <xdr:col>8</xdr:col>
      <xdr:colOff>586740</xdr:colOff>
      <xdr:row>32</xdr:row>
      <xdr:rowOff>7620</xdr:rowOff>
    </xdr:to>
    <xdr:sp macro="" textlink="">
      <xdr:nvSpPr>
        <xdr:cNvPr id="29" name="Rectangle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3924300" y="56388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8</xdr:col>
      <xdr:colOff>490993</xdr:colOff>
      <xdr:row>40</xdr:row>
      <xdr:rowOff>53008</xdr:rowOff>
    </xdr:to>
    <xdr:sp macro="" textlink="">
      <xdr:nvSpPr>
        <xdr:cNvPr id="31" name="Rectangle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828800" y="5852160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289560</xdr:colOff>
      <xdr:row>33</xdr:row>
      <xdr:rowOff>45720</xdr:rowOff>
    </xdr:to>
    <xdr:sp macro="" textlink="">
      <xdr:nvSpPr>
        <xdr:cNvPr id="32" name="TextBox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828800" y="5852160"/>
          <a:ext cx="211836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Average</a:t>
          </a:r>
          <a:r>
            <a:rPr lang="en-IN" sz="1100" b="0" baseline="0">
              <a:solidFill>
                <a:schemeClr val="bg1">
                  <a:lumMod val="75000"/>
                </a:schemeClr>
              </a:solidFill>
            </a:rPr>
            <a:t> Profit per unit sold</a:t>
          </a:r>
          <a:r>
            <a:rPr lang="en-IN" sz="1100" b="0">
              <a:solidFill>
                <a:schemeClr val="bg1">
                  <a:lumMod val="75000"/>
                </a:schemeClr>
              </a:solidFill>
            </a:rPr>
            <a:t>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533400</xdr:colOff>
      <xdr:row>32</xdr:row>
      <xdr:rowOff>53340</xdr:rowOff>
    </xdr:from>
    <xdr:to>
      <xdr:col>6</xdr:col>
      <xdr:colOff>259080</xdr:colOff>
      <xdr:row>36</xdr:row>
      <xdr:rowOff>83820</xdr:rowOff>
    </xdr:to>
    <xdr:sp macro="" textlink="Analysis!V35">
      <xdr:nvSpPr>
        <xdr:cNvPr id="27" name="TextBox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752600" y="5905500"/>
          <a:ext cx="216408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87B5084-F2AF-4A37-AA0C-ED14D9C15683}" type="TxLink">
            <a:rPr lang="en-US" sz="3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18/Unit</a:t>
          </a:fld>
          <a:endParaRPr lang="en-IN" sz="96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31</xdr:row>
          <xdr:rowOff>160020</xdr:rowOff>
        </xdr:from>
        <xdr:to>
          <xdr:col>8</xdr:col>
          <xdr:colOff>480060</xdr:colOff>
          <xdr:row>35</xdr:row>
          <xdr:rowOff>160020</xdr:rowOff>
        </xdr:to>
        <xdr:pic>
          <xdr:nvPicPr>
            <xdr:cNvPr id="33" name="Picture 32">
              <a:extLst>
                <a:ext uri="{FF2B5EF4-FFF2-40B4-BE49-F238E27FC236}">
                  <a16:creationId xmlns="" xmlns:a16="http://schemas.microsoft.com/office/drawing/2014/main" id="{00000000-0008-0000-0000-00002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19:$C$22" spid="_x0000_s331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038600" y="5829300"/>
              <a:ext cx="131826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7620</xdr:colOff>
      <xdr:row>37</xdr:row>
      <xdr:rowOff>68580</xdr:rowOff>
    </xdr:from>
    <xdr:to>
      <xdr:col>3</xdr:col>
      <xdr:colOff>497725</xdr:colOff>
      <xdr:row>40</xdr:row>
      <xdr:rowOff>25199</xdr:rowOff>
    </xdr:to>
    <xdr:grpSp>
      <xdr:nvGrpSpPr>
        <xdr:cNvPr id="34" name="Group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836420" y="7117080"/>
          <a:ext cx="490105" cy="52811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35" name="Freeform 142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36" name="Group 35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55" name="Freeform 162">
              <a:extLst>
                <a:ext uri="{FF2B5EF4-FFF2-40B4-BE49-F238E27FC236}">
                  <a16:creationId xmlns=""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6" name="Freeform 163">
              <a:extLst>
                <a:ext uri="{FF2B5EF4-FFF2-40B4-BE49-F238E27FC236}">
                  <a16:creationId xmlns="" xmlns:a16="http://schemas.microsoft.com/office/drawing/2014/main" id="{00000000-0008-0000-00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7" name="Freeform 164">
              <a:extLst>
                <a:ext uri="{FF2B5EF4-FFF2-40B4-BE49-F238E27FC236}">
                  <a16:creationId xmlns="" xmlns:a16="http://schemas.microsoft.com/office/drawing/2014/main" id="{00000000-0008-0000-00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8" name="Freeform 165">
              <a:extLst>
                <a:ext uri="{FF2B5EF4-FFF2-40B4-BE49-F238E27FC236}">
                  <a16:creationId xmlns="" xmlns:a16="http://schemas.microsoft.com/office/drawing/2014/main" id="{00000000-0008-0000-00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9" name="Freeform 166">
              <a:extLst>
                <a:ext uri="{FF2B5EF4-FFF2-40B4-BE49-F238E27FC236}">
                  <a16:creationId xmlns="" xmlns:a16="http://schemas.microsoft.com/office/drawing/2014/main" id="{00000000-0008-0000-00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0" name="Freeform 167">
              <a:extLst>
                <a:ext uri="{FF2B5EF4-FFF2-40B4-BE49-F238E27FC236}">
                  <a16:creationId xmlns="" xmlns:a16="http://schemas.microsoft.com/office/drawing/2014/main" id="{00000000-0008-0000-00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1" name="Freeform 168">
              <a:extLst>
                <a:ext uri="{FF2B5EF4-FFF2-40B4-BE49-F238E27FC236}">
                  <a16:creationId xmlns="" xmlns:a16="http://schemas.microsoft.com/office/drawing/2014/main" id="{00000000-0008-0000-00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2" name="Freeform 169">
              <a:extLst>
                <a:ext uri="{FF2B5EF4-FFF2-40B4-BE49-F238E27FC236}">
                  <a16:creationId xmlns="" xmlns:a16="http://schemas.microsoft.com/office/drawing/2014/main" id="{00000000-0008-0000-00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3" name="Freeform 170">
              <a:extLst>
                <a:ext uri="{FF2B5EF4-FFF2-40B4-BE49-F238E27FC236}">
                  <a16:creationId xmlns="" xmlns:a16="http://schemas.microsoft.com/office/drawing/2014/main" id="{00000000-0008-0000-00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4" name="Freeform 171">
              <a:extLst>
                <a:ext uri="{FF2B5EF4-FFF2-40B4-BE49-F238E27FC236}">
                  <a16:creationId xmlns="" xmlns:a16="http://schemas.microsoft.com/office/drawing/2014/main" id="{00000000-0008-0000-00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5" name="Freeform 172">
              <a:extLst>
                <a:ext uri="{FF2B5EF4-FFF2-40B4-BE49-F238E27FC236}">
                  <a16:creationId xmlns="" xmlns:a16="http://schemas.microsoft.com/office/drawing/2014/main" id="{00000000-0008-0000-00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6" name="Freeform 173">
              <a:extLst>
                <a:ext uri="{FF2B5EF4-FFF2-40B4-BE49-F238E27FC236}">
                  <a16:creationId xmlns="" xmlns:a16="http://schemas.microsoft.com/office/drawing/2014/main" id="{00000000-0008-0000-00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7" name="Freeform 174">
              <a:extLst>
                <a:ext uri="{FF2B5EF4-FFF2-40B4-BE49-F238E27FC236}">
                  <a16:creationId xmlns="" xmlns:a16="http://schemas.microsoft.com/office/drawing/2014/main" id="{00000000-0008-0000-00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8" name="Freeform 175">
              <a:extLst>
                <a:ext uri="{FF2B5EF4-FFF2-40B4-BE49-F238E27FC236}">
                  <a16:creationId xmlns="" xmlns:a16="http://schemas.microsoft.com/office/drawing/2014/main" id="{00000000-0008-0000-00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9" name="Freeform 176">
              <a:extLst>
                <a:ext uri="{FF2B5EF4-FFF2-40B4-BE49-F238E27FC236}">
                  <a16:creationId xmlns="" xmlns:a16="http://schemas.microsoft.com/office/drawing/2014/main" id="{00000000-0008-0000-00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0" name="Freeform 177">
              <a:extLst>
                <a:ext uri="{FF2B5EF4-FFF2-40B4-BE49-F238E27FC236}">
                  <a16:creationId xmlns="" xmlns:a16="http://schemas.microsoft.com/office/drawing/2014/main" id="{00000000-0008-0000-00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1" name="Freeform 178">
              <a:extLst>
                <a:ext uri="{FF2B5EF4-FFF2-40B4-BE49-F238E27FC236}">
                  <a16:creationId xmlns="" xmlns:a16="http://schemas.microsoft.com/office/drawing/2014/main" id="{00000000-0008-0000-00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38" name="Freeform 145">
              <a:extLst>
                <a:ext uri="{FF2B5EF4-FFF2-40B4-BE49-F238E27FC236}">
                  <a16:creationId xmlns="" xmlns:a16="http://schemas.microsoft.com/office/drawing/2014/main" id="{00000000-0008-0000-0000-00002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39" name="Freeform 146">
              <a:extLst>
                <a:ext uri="{FF2B5EF4-FFF2-40B4-BE49-F238E27FC236}">
                  <a16:creationId xmlns=""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0" name="Freeform 147">
              <a:extLst>
                <a:ext uri="{FF2B5EF4-FFF2-40B4-BE49-F238E27FC236}">
                  <a16:creationId xmlns="" xmlns:a16="http://schemas.microsoft.com/office/drawing/2014/main" id="{00000000-0008-0000-0000-00002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1" name="Freeform 148">
              <a:extLst>
                <a:ext uri="{FF2B5EF4-FFF2-40B4-BE49-F238E27FC236}">
                  <a16:creationId xmlns="" xmlns:a16="http://schemas.microsoft.com/office/drawing/2014/main" id="{00000000-0008-0000-0000-00002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2" name="Freeform 149">
              <a:extLst>
                <a:ext uri="{FF2B5EF4-FFF2-40B4-BE49-F238E27FC236}">
                  <a16:creationId xmlns="" xmlns:a16="http://schemas.microsoft.com/office/drawing/2014/main" id="{00000000-0008-0000-0000-00002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3" name="Freeform 150">
              <a:extLst>
                <a:ext uri="{FF2B5EF4-FFF2-40B4-BE49-F238E27FC236}">
                  <a16:creationId xmlns="" xmlns:a16="http://schemas.microsoft.com/office/drawing/2014/main" id="{00000000-0008-0000-0000-00002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4" name="Freeform 151">
              <a:extLst>
                <a:ext uri="{FF2B5EF4-FFF2-40B4-BE49-F238E27FC236}">
                  <a16:creationId xmlns="" xmlns:a16="http://schemas.microsoft.com/office/drawing/2014/main" id="{00000000-0008-0000-0000-00002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5" name="Freeform 152">
              <a:extLst>
                <a:ext uri="{FF2B5EF4-FFF2-40B4-BE49-F238E27FC236}">
                  <a16:creationId xmlns="" xmlns:a16="http://schemas.microsoft.com/office/drawing/2014/main" id="{00000000-0008-0000-0000-00002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6" name="Freeform 153">
              <a:extLst>
                <a:ext uri="{FF2B5EF4-FFF2-40B4-BE49-F238E27FC236}">
                  <a16:creationId xmlns="" xmlns:a16="http://schemas.microsoft.com/office/drawing/2014/main" id="{00000000-0008-0000-0000-00002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7" name="Freeform 154">
              <a:extLst>
                <a:ext uri="{FF2B5EF4-FFF2-40B4-BE49-F238E27FC236}">
                  <a16:creationId xmlns="" xmlns:a16="http://schemas.microsoft.com/office/drawing/2014/main" id="{00000000-0008-0000-0000-00002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8" name="Freeform 155">
              <a:extLst>
                <a:ext uri="{FF2B5EF4-FFF2-40B4-BE49-F238E27FC236}">
                  <a16:creationId xmlns="" xmlns:a16="http://schemas.microsoft.com/office/drawing/2014/main" id="{00000000-0008-0000-0000-00003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9" name="Freeform 156">
              <a:extLst>
                <a:ext uri="{FF2B5EF4-FFF2-40B4-BE49-F238E27FC236}">
                  <a16:creationId xmlns="" xmlns:a16="http://schemas.microsoft.com/office/drawing/2014/main" id="{00000000-0008-0000-0000-00003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0" name="Freeform 157">
              <a:extLst>
                <a:ext uri="{FF2B5EF4-FFF2-40B4-BE49-F238E27FC236}">
                  <a16:creationId xmlns="" xmlns:a16="http://schemas.microsoft.com/office/drawing/2014/main" id="{00000000-0008-0000-0000-00003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1" name="Freeform 158">
              <a:extLst>
                <a:ext uri="{FF2B5EF4-FFF2-40B4-BE49-F238E27FC236}">
                  <a16:creationId xmlns="" xmlns:a16="http://schemas.microsoft.com/office/drawing/2014/main" id="{00000000-0008-0000-00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2" name="Freeform 159">
              <a:extLst>
                <a:ext uri="{FF2B5EF4-FFF2-40B4-BE49-F238E27FC236}">
                  <a16:creationId xmlns="" xmlns:a16="http://schemas.microsoft.com/office/drawing/2014/main" id="{00000000-0008-0000-00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3" name="Freeform 160">
              <a:extLst>
                <a:ext uri="{FF2B5EF4-FFF2-40B4-BE49-F238E27FC236}">
                  <a16:creationId xmlns="" xmlns:a16="http://schemas.microsoft.com/office/drawing/2014/main" id="{00000000-0008-0000-00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4" name="Freeform 161">
              <a:extLst>
                <a:ext uri="{FF2B5EF4-FFF2-40B4-BE49-F238E27FC236}">
                  <a16:creationId xmlns="" xmlns:a16="http://schemas.microsoft.com/office/drawing/2014/main" id="{00000000-0008-0000-00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3</xdr:col>
      <xdr:colOff>53340</xdr:colOff>
      <xdr:row>36</xdr:row>
      <xdr:rowOff>22860</xdr:rowOff>
    </xdr:from>
    <xdr:to>
      <xdr:col>8</xdr:col>
      <xdr:colOff>464820</xdr:colOff>
      <xdr:row>37</xdr:row>
      <xdr:rowOff>0</xdr:rowOff>
    </xdr:to>
    <xdr:sp macro="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882140" y="6606540"/>
          <a:ext cx="3459480" cy="160020"/>
        </a:xfrm>
        <a:prstGeom prst="rect">
          <a:avLst/>
        </a:prstGeom>
        <a:solidFill>
          <a:schemeClr val="tx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>
              <a:solidFill>
                <a:schemeClr val="bg1"/>
              </a:solidFill>
            </a:rPr>
            <a:t>My Achievement</a:t>
          </a:r>
        </a:p>
      </xdr:txBody>
    </xdr:sp>
    <xdr:clientData/>
  </xdr:twoCellAnchor>
  <xdr:twoCellAnchor>
    <xdr:from>
      <xdr:col>3</xdr:col>
      <xdr:colOff>396240</xdr:colOff>
      <xdr:row>36</xdr:row>
      <xdr:rowOff>175261</xdr:rowOff>
    </xdr:from>
    <xdr:to>
      <xdr:col>5</xdr:col>
      <xdr:colOff>441960</xdr:colOff>
      <xdr:row>37</xdr:row>
      <xdr:rowOff>175261</xdr:rowOff>
    </xdr:to>
    <xdr:sp macro="" textlink="">
      <xdr:nvSpPr>
        <xdr:cNvPr id="111" name="TextBox 110">
          <a:extLst>
            <a:ext uri="{FF2B5EF4-FFF2-40B4-BE49-F238E27FC236}">
              <a16:creationId xmlns=""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2225040" y="6758941"/>
          <a:ext cx="12649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Profit/Unit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462915</xdr:colOff>
      <xdr:row>37</xdr:row>
      <xdr:rowOff>175260</xdr:rowOff>
    </xdr:from>
    <xdr:to>
      <xdr:col>6</xdr:col>
      <xdr:colOff>241935</xdr:colOff>
      <xdr:row>40</xdr:row>
      <xdr:rowOff>141144</xdr:rowOff>
    </xdr:to>
    <xdr:sp macro="" textlink="Analysis!T37">
      <xdr:nvSpPr>
        <xdr:cNvPr id="112" name="TextBox 111">
          <a:extLst>
            <a:ext uri="{FF2B5EF4-FFF2-40B4-BE49-F238E27FC236}">
              <a16:creationId xmlns=""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2291715" y="6890385"/>
          <a:ext cx="1607820" cy="537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B13F390-2446-46E6-8E6D-E1DC798ADFC2}" type="TxLink">
            <a:rPr lang="en-US" sz="24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December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6</xdr:col>
      <xdr:colOff>495301</xdr:colOff>
      <xdr:row>36</xdr:row>
      <xdr:rowOff>175260</xdr:rowOff>
    </xdr:from>
    <xdr:to>
      <xdr:col>9</xdr:col>
      <xdr:colOff>45721</xdr:colOff>
      <xdr:row>38</xdr:row>
      <xdr:rowOff>15240</xdr:rowOff>
    </xdr:to>
    <xdr:sp macro="" textlink="">
      <xdr:nvSpPr>
        <xdr:cNvPr id="113" name="TextBox 112">
          <a:extLst>
            <a:ext uri="{FF2B5EF4-FFF2-40B4-BE49-F238E27FC236}">
              <a16:creationId xmlns="" xmlns:a16="http://schemas.microsoft.com/office/drawing/2014/main" id="{00000000-0008-0000-0000-000071000000}"/>
            </a:ext>
          </a:extLst>
        </xdr:cNvPr>
        <xdr:cNvSpPr txBox="1"/>
      </xdr:nvSpPr>
      <xdr:spPr>
        <a:xfrm>
          <a:off x="4152901" y="6758940"/>
          <a:ext cx="137922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Units Sold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60960</xdr:colOff>
      <xdr:row>37</xdr:row>
      <xdr:rowOff>22860</xdr:rowOff>
    </xdr:from>
    <xdr:to>
      <xdr:col>6</xdr:col>
      <xdr:colOff>551065</xdr:colOff>
      <xdr:row>39</xdr:row>
      <xdr:rowOff>162359</xdr:rowOff>
    </xdr:to>
    <xdr:grpSp>
      <xdr:nvGrpSpPr>
        <xdr:cNvPr id="114" name="Group 113">
          <a:extLst>
            <a:ext uri="{FF2B5EF4-FFF2-40B4-BE49-F238E27FC236}">
              <a16:creationId xmlns="" xmlns:a16="http://schemas.microsoft.com/office/drawing/2014/main" id="{00000000-0008-0000-0000-000072000000}"/>
            </a:ext>
          </a:extLst>
        </xdr:cNvPr>
        <xdr:cNvGrpSpPr/>
      </xdr:nvGrpSpPr>
      <xdr:grpSpPr>
        <a:xfrm>
          <a:off x="3718560" y="7071360"/>
          <a:ext cx="490105" cy="52049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115" name="Freeform 142">
            <a:extLst>
              <a:ext uri="{FF2B5EF4-FFF2-40B4-BE49-F238E27FC236}">
                <a16:creationId xmlns="" xmlns:a16="http://schemas.microsoft.com/office/drawing/2014/main" id="{00000000-0008-0000-0000-00007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116" name="Group 115">
            <a:extLst>
              <a:ext uri="{FF2B5EF4-FFF2-40B4-BE49-F238E27FC236}">
                <a16:creationId xmlns="" xmlns:a16="http://schemas.microsoft.com/office/drawing/2014/main" id="{00000000-0008-0000-0000-00007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135" name="Freeform 162">
              <a:extLst>
                <a:ext uri="{FF2B5EF4-FFF2-40B4-BE49-F238E27FC236}">
                  <a16:creationId xmlns="" xmlns:a16="http://schemas.microsoft.com/office/drawing/2014/main" id="{00000000-0008-0000-0000-00008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6" name="Freeform 163">
              <a:extLst>
                <a:ext uri="{FF2B5EF4-FFF2-40B4-BE49-F238E27FC236}">
                  <a16:creationId xmlns="" xmlns:a16="http://schemas.microsoft.com/office/drawing/2014/main" id="{00000000-0008-0000-0000-00008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7" name="Freeform 164">
              <a:extLst>
                <a:ext uri="{FF2B5EF4-FFF2-40B4-BE49-F238E27FC236}">
                  <a16:creationId xmlns="" xmlns:a16="http://schemas.microsoft.com/office/drawing/2014/main" id="{00000000-0008-0000-0000-00008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8" name="Freeform 165">
              <a:extLst>
                <a:ext uri="{FF2B5EF4-FFF2-40B4-BE49-F238E27FC236}">
                  <a16:creationId xmlns="" xmlns:a16="http://schemas.microsoft.com/office/drawing/2014/main" id="{00000000-0008-0000-0000-00008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9" name="Freeform 166">
              <a:extLst>
                <a:ext uri="{FF2B5EF4-FFF2-40B4-BE49-F238E27FC236}">
                  <a16:creationId xmlns="" xmlns:a16="http://schemas.microsoft.com/office/drawing/2014/main" id="{00000000-0008-0000-0000-00008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0" name="Freeform 167">
              <a:extLst>
                <a:ext uri="{FF2B5EF4-FFF2-40B4-BE49-F238E27FC236}">
                  <a16:creationId xmlns="" xmlns:a16="http://schemas.microsoft.com/office/drawing/2014/main" id="{00000000-0008-0000-0000-00008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1" name="Freeform 168">
              <a:extLst>
                <a:ext uri="{FF2B5EF4-FFF2-40B4-BE49-F238E27FC236}">
                  <a16:creationId xmlns="" xmlns:a16="http://schemas.microsoft.com/office/drawing/2014/main" id="{00000000-0008-0000-0000-00008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2" name="Freeform 169">
              <a:extLst>
                <a:ext uri="{FF2B5EF4-FFF2-40B4-BE49-F238E27FC236}">
                  <a16:creationId xmlns="" xmlns:a16="http://schemas.microsoft.com/office/drawing/2014/main" id="{00000000-0008-0000-0000-00008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3" name="Freeform 170">
              <a:extLst>
                <a:ext uri="{FF2B5EF4-FFF2-40B4-BE49-F238E27FC236}">
                  <a16:creationId xmlns="" xmlns:a16="http://schemas.microsoft.com/office/drawing/2014/main" id="{00000000-0008-0000-0000-00008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4" name="Freeform 171">
              <a:extLst>
                <a:ext uri="{FF2B5EF4-FFF2-40B4-BE49-F238E27FC236}">
                  <a16:creationId xmlns="" xmlns:a16="http://schemas.microsoft.com/office/drawing/2014/main" id="{00000000-0008-0000-0000-00009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5" name="Freeform 172">
              <a:extLst>
                <a:ext uri="{FF2B5EF4-FFF2-40B4-BE49-F238E27FC236}">
                  <a16:creationId xmlns="" xmlns:a16="http://schemas.microsoft.com/office/drawing/2014/main" id="{00000000-0008-0000-0000-00009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6" name="Freeform 173">
              <a:extLst>
                <a:ext uri="{FF2B5EF4-FFF2-40B4-BE49-F238E27FC236}">
                  <a16:creationId xmlns="" xmlns:a16="http://schemas.microsoft.com/office/drawing/2014/main" id="{00000000-0008-0000-0000-00009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7" name="Freeform 174">
              <a:extLst>
                <a:ext uri="{FF2B5EF4-FFF2-40B4-BE49-F238E27FC236}">
                  <a16:creationId xmlns="" xmlns:a16="http://schemas.microsoft.com/office/drawing/2014/main" id="{00000000-0008-0000-0000-00009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8" name="Freeform 175">
              <a:extLst>
                <a:ext uri="{FF2B5EF4-FFF2-40B4-BE49-F238E27FC236}">
                  <a16:creationId xmlns="" xmlns:a16="http://schemas.microsoft.com/office/drawing/2014/main" id="{00000000-0008-0000-0000-00009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9" name="Freeform 176">
              <a:extLst>
                <a:ext uri="{FF2B5EF4-FFF2-40B4-BE49-F238E27FC236}">
                  <a16:creationId xmlns="" xmlns:a16="http://schemas.microsoft.com/office/drawing/2014/main" id="{00000000-0008-0000-0000-00009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0" name="Freeform 177">
              <a:extLst>
                <a:ext uri="{FF2B5EF4-FFF2-40B4-BE49-F238E27FC236}">
                  <a16:creationId xmlns="" xmlns:a16="http://schemas.microsoft.com/office/drawing/2014/main" id="{00000000-0008-0000-0000-00009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1" name="Freeform 178">
              <a:extLst>
                <a:ext uri="{FF2B5EF4-FFF2-40B4-BE49-F238E27FC236}">
                  <a16:creationId xmlns="" xmlns:a16="http://schemas.microsoft.com/office/drawing/2014/main" id="{00000000-0008-0000-0000-00009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117" name="Group 116">
            <a:extLst>
              <a:ext uri="{FF2B5EF4-FFF2-40B4-BE49-F238E27FC236}">
                <a16:creationId xmlns="" xmlns:a16="http://schemas.microsoft.com/office/drawing/2014/main" id="{00000000-0008-0000-0000-00007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118" name="Freeform 145">
              <a:extLst>
                <a:ext uri="{FF2B5EF4-FFF2-40B4-BE49-F238E27FC236}">
                  <a16:creationId xmlns="" xmlns:a16="http://schemas.microsoft.com/office/drawing/2014/main" id="{00000000-0008-0000-00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19" name="Freeform 146">
              <a:extLst>
                <a:ext uri="{FF2B5EF4-FFF2-40B4-BE49-F238E27FC236}">
                  <a16:creationId xmlns="" xmlns:a16="http://schemas.microsoft.com/office/drawing/2014/main" id="{00000000-0008-0000-00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0" name="Freeform 147">
              <a:extLst>
                <a:ext uri="{FF2B5EF4-FFF2-40B4-BE49-F238E27FC236}">
                  <a16:creationId xmlns="" xmlns:a16="http://schemas.microsoft.com/office/drawing/2014/main" id="{00000000-0008-0000-00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1" name="Freeform 148">
              <a:extLst>
                <a:ext uri="{FF2B5EF4-FFF2-40B4-BE49-F238E27FC236}">
                  <a16:creationId xmlns="" xmlns:a16="http://schemas.microsoft.com/office/drawing/2014/main" id="{00000000-0008-0000-00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2" name="Freeform 149">
              <a:extLst>
                <a:ext uri="{FF2B5EF4-FFF2-40B4-BE49-F238E27FC236}">
                  <a16:creationId xmlns="" xmlns:a16="http://schemas.microsoft.com/office/drawing/2014/main" id="{00000000-0008-0000-00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3" name="Freeform 150">
              <a:extLst>
                <a:ext uri="{FF2B5EF4-FFF2-40B4-BE49-F238E27FC236}">
                  <a16:creationId xmlns="" xmlns:a16="http://schemas.microsoft.com/office/drawing/2014/main" id="{00000000-0008-0000-0000-00007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4" name="Freeform 151">
              <a:extLst>
                <a:ext uri="{FF2B5EF4-FFF2-40B4-BE49-F238E27FC236}">
                  <a16:creationId xmlns="" xmlns:a16="http://schemas.microsoft.com/office/drawing/2014/main" id="{00000000-0008-0000-0000-00007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5" name="Freeform 152">
              <a:extLst>
                <a:ext uri="{FF2B5EF4-FFF2-40B4-BE49-F238E27FC236}">
                  <a16:creationId xmlns="" xmlns:a16="http://schemas.microsoft.com/office/drawing/2014/main" id="{00000000-0008-0000-00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6" name="Freeform 153">
              <a:extLst>
                <a:ext uri="{FF2B5EF4-FFF2-40B4-BE49-F238E27FC236}">
                  <a16:creationId xmlns="" xmlns:a16="http://schemas.microsoft.com/office/drawing/2014/main" id="{00000000-0008-0000-0000-00007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7" name="Freeform 154">
              <a:extLst>
                <a:ext uri="{FF2B5EF4-FFF2-40B4-BE49-F238E27FC236}">
                  <a16:creationId xmlns="" xmlns:a16="http://schemas.microsoft.com/office/drawing/2014/main" id="{00000000-0008-0000-0000-00007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8" name="Freeform 155">
              <a:extLst>
                <a:ext uri="{FF2B5EF4-FFF2-40B4-BE49-F238E27FC236}">
                  <a16:creationId xmlns="" xmlns:a16="http://schemas.microsoft.com/office/drawing/2014/main" id="{00000000-0008-0000-0000-00008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9" name="Freeform 156">
              <a:extLst>
                <a:ext uri="{FF2B5EF4-FFF2-40B4-BE49-F238E27FC236}">
                  <a16:creationId xmlns="" xmlns:a16="http://schemas.microsoft.com/office/drawing/2014/main" id="{00000000-0008-0000-0000-00008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0" name="Freeform 157">
              <a:extLst>
                <a:ext uri="{FF2B5EF4-FFF2-40B4-BE49-F238E27FC236}">
                  <a16:creationId xmlns="" xmlns:a16="http://schemas.microsoft.com/office/drawing/2014/main" id="{00000000-0008-0000-0000-00008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1" name="Freeform 158">
              <a:extLst>
                <a:ext uri="{FF2B5EF4-FFF2-40B4-BE49-F238E27FC236}">
                  <a16:creationId xmlns="" xmlns:a16="http://schemas.microsoft.com/office/drawing/2014/main" id="{00000000-0008-0000-0000-00008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2" name="Freeform 159">
              <a:extLst>
                <a:ext uri="{FF2B5EF4-FFF2-40B4-BE49-F238E27FC236}">
                  <a16:creationId xmlns="" xmlns:a16="http://schemas.microsoft.com/office/drawing/2014/main" id="{00000000-0008-0000-0000-00008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3" name="Freeform 160">
              <a:extLst>
                <a:ext uri="{FF2B5EF4-FFF2-40B4-BE49-F238E27FC236}">
                  <a16:creationId xmlns="" xmlns:a16="http://schemas.microsoft.com/office/drawing/2014/main" id="{00000000-0008-0000-0000-00008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4" name="Freeform 161">
              <a:extLst>
                <a:ext uri="{FF2B5EF4-FFF2-40B4-BE49-F238E27FC236}">
                  <a16:creationId xmlns="" xmlns:a16="http://schemas.microsoft.com/office/drawing/2014/main" id="{00000000-0008-0000-0000-00008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6</xdr:col>
      <xdr:colOff>449580</xdr:colOff>
      <xdr:row>37</xdr:row>
      <xdr:rowOff>22860</xdr:rowOff>
    </xdr:from>
    <xdr:to>
      <xdr:col>9</xdr:col>
      <xdr:colOff>0</xdr:colOff>
      <xdr:row>39</xdr:row>
      <xdr:rowOff>152400</xdr:rowOff>
    </xdr:to>
    <xdr:sp macro="" textlink="Analysis!U39">
      <xdr:nvSpPr>
        <xdr:cNvPr id="152" name="TextBox 151">
          <a:extLst>
            <a:ext uri="{FF2B5EF4-FFF2-40B4-BE49-F238E27FC236}">
              <a16:creationId xmlns="" xmlns:a16="http://schemas.microsoft.com/office/drawing/2014/main" id="{00000000-0008-0000-0000-000098000000}"/>
            </a:ext>
          </a:extLst>
        </xdr:cNvPr>
        <xdr:cNvSpPr txBox="1"/>
      </xdr:nvSpPr>
      <xdr:spPr>
        <a:xfrm>
          <a:off x="4107180" y="678942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EA3C906-000B-40EC-94B8-7455361CE424}" type="TxLink">
            <a:rPr lang="en-US" sz="1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 11,934 </a:t>
          </a:fld>
          <a:endParaRPr lang="en-US" sz="2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556260</xdr:colOff>
      <xdr:row>38</xdr:row>
      <xdr:rowOff>53340</xdr:rowOff>
    </xdr:from>
    <xdr:to>
      <xdr:col>9</xdr:col>
      <xdr:colOff>106680</xdr:colOff>
      <xdr:row>41</xdr:row>
      <xdr:rowOff>0</xdr:rowOff>
    </xdr:to>
    <xdr:sp macro="" textlink="Analysis!T39">
      <xdr:nvSpPr>
        <xdr:cNvPr id="153" name="TextBox 152">
          <a:extLst>
            <a:ext uri="{FF2B5EF4-FFF2-40B4-BE49-F238E27FC236}">
              <a16:creationId xmlns=""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4213860" y="700278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843FC5D-7E05-4820-8B8B-39D956DEDE7F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December</a:t>
          </a:fld>
          <a:endParaRPr lang="en-US" sz="20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9</xdr:col>
      <xdr:colOff>201692</xdr:colOff>
      <xdr:row>6</xdr:row>
      <xdr:rowOff>162440</xdr:rowOff>
    </xdr:from>
    <xdr:to>
      <xdr:col>12</xdr:col>
      <xdr:colOff>554965</xdr:colOff>
      <xdr:row>7</xdr:row>
      <xdr:rowOff>138229</xdr:rowOff>
    </xdr:to>
    <xdr:sp macro="" textlink="">
      <xdr:nvSpPr>
        <xdr:cNvPr id="155" name="TextBox 154">
          <a:extLst>
            <a:ext uri="{FF2B5EF4-FFF2-40B4-BE49-F238E27FC236}">
              <a16:creationId xmlns="" xmlns:a16="http://schemas.microsoft.com/office/drawing/2014/main" id="{00000000-0008-0000-0000-00009B000000}"/>
            </a:ext>
          </a:extLst>
        </xdr:cNvPr>
        <xdr:cNvSpPr txBox="1"/>
      </xdr:nvSpPr>
      <xdr:spPr>
        <a:xfrm>
          <a:off x="5688092" y="1259720"/>
          <a:ext cx="2182073" cy="158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r>
            <a:rPr lang="en-US" sz="10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SOLD 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ANALYSIS</a:t>
          </a:r>
        </a:p>
      </xdr:txBody>
    </xdr:sp>
    <xdr:clientData/>
  </xdr:twoCellAnchor>
  <xdr:twoCellAnchor>
    <xdr:from>
      <xdr:col>13</xdr:col>
      <xdr:colOff>314566</xdr:colOff>
      <xdr:row>6</xdr:row>
      <xdr:rowOff>152400</xdr:rowOff>
    </xdr:from>
    <xdr:to>
      <xdr:col>15</xdr:col>
      <xdr:colOff>389007</xdr:colOff>
      <xdr:row>7</xdr:row>
      <xdr:rowOff>130419</xdr:rowOff>
    </xdr:to>
    <xdr:sp macro="" textlink="">
      <xdr:nvSpPr>
        <xdr:cNvPr id="156" name="TextBox 155">
          <a:extLst>
            <a:ext uri="{FF2B5EF4-FFF2-40B4-BE49-F238E27FC236}">
              <a16:creationId xmlns="" xmlns:a16="http://schemas.microsoft.com/office/drawing/2014/main" id="{00000000-0008-0000-0000-00009C000000}"/>
            </a:ext>
          </a:extLst>
        </xdr:cNvPr>
        <xdr:cNvSpPr txBox="1"/>
      </xdr:nvSpPr>
      <xdr:spPr>
        <a:xfrm>
          <a:off x="8239366" y="124968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225517</xdr:colOff>
      <xdr:row>7</xdr:row>
      <xdr:rowOff>139987</xdr:rowOff>
    </xdr:from>
    <xdr:to>
      <xdr:col>12</xdr:col>
      <xdr:colOff>526473</xdr:colOff>
      <xdr:row>8</xdr:row>
      <xdr:rowOff>152475</xdr:rowOff>
    </xdr:to>
    <xdr:sp macro="" textlink="">
      <xdr:nvSpPr>
        <xdr:cNvPr id="157" name="TextBox 156">
          <a:extLst>
            <a:ext uri="{FF2B5EF4-FFF2-40B4-BE49-F238E27FC236}">
              <a16:creationId xmlns="" xmlns:a16="http://schemas.microsoft.com/office/drawing/2014/main" id="{00000000-0008-0000-0000-00009D000000}"/>
            </a:ext>
          </a:extLst>
        </xdr:cNvPr>
        <xdr:cNvSpPr txBox="1"/>
      </xdr:nvSpPr>
      <xdr:spPr>
        <a:xfrm>
          <a:off x="5711917" y="1420147"/>
          <a:ext cx="2129756" cy="195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 Units Sold</a:t>
          </a:r>
        </a:p>
      </xdr:txBody>
    </xdr:sp>
    <xdr:clientData/>
  </xdr:twoCellAnchor>
  <xdr:twoCellAnchor>
    <xdr:from>
      <xdr:col>9</xdr:col>
      <xdr:colOff>281940</xdr:colOff>
      <xdr:row>8</xdr:row>
      <xdr:rowOff>104809</xdr:rowOff>
    </xdr:from>
    <xdr:to>
      <xdr:col>14</xdr:col>
      <xdr:colOff>126364</xdr:colOff>
      <xdr:row>11</xdr:row>
      <xdr:rowOff>171394</xdr:rowOff>
    </xdr:to>
    <xdr:sp macro="" textlink="Analysis!U41">
      <xdr:nvSpPr>
        <xdr:cNvPr id="158" name="TextBox 157">
          <a:extLst>
            <a:ext uri="{FF2B5EF4-FFF2-40B4-BE49-F238E27FC236}">
              <a16:creationId xmlns=""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5768340" y="1567849"/>
          <a:ext cx="2892424" cy="615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64666CE-1A76-4F38-9ADC-AC2F692950C8}" type="TxLink">
            <a:rPr lang="en-US" sz="40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 algn="l"/>
            <a:t> 89,526 </a:t>
          </a:fld>
          <a:endParaRPr lang="en-US" sz="115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397587</xdr:colOff>
      <xdr:row>12</xdr:row>
      <xdr:rowOff>95096</xdr:rowOff>
    </xdr:from>
    <xdr:to>
      <xdr:col>16</xdr:col>
      <xdr:colOff>9028</xdr:colOff>
      <xdr:row>13</xdr:row>
      <xdr:rowOff>114910</xdr:rowOff>
    </xdr:to>
    <xdr:sp macro="" textlink="Analysis!T52">
      <xdr:nvSpPr>
        <xdr:cNvPr id="162" name="TextBox 161">
          <a:extLst>
            <a:ext uri="{FF2B5EF4-FFF2-40B4-BE49-F238E27FC236}">
              <a16:creationId xmlns="" xmlns:a16="http://schemas.microsoft.com/office/drawing/2014/main" id="{00000000-0008-0000-0000-0000A2000000}"/>
            </a:ext>
          </a:extLst>
        </xdr:cNvPr>
        <xdr:cNvSpPr txBox="1"/>
      </xdr:nvSpPr>
      <xdr:spPr>
        <a:xfrm>
          <a:off x="8322387" y="2289656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D477621-1B8E-4CDE-8E54-97F0E9A82A7C}" type="TxLink">
            <a:rPr lang="en-US" sz="12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406006</xdr:colOff>
      <xdr:row>5</xdr:row>
      <xdr:rowOff>0</xdr:rowOff>
    </xdr:from>
    <xdr:to>
      <xdr:col>14</xdr:col>
      <xdr:colOff>480447</xdr:colOff>
      <xdr:row>5</xdr:row>
      <xdr:rowOff>160899</xdr:rowOff>
    </xdr:to>
    <xdr:sp macro="" textlink="">
      <xdr:nvSpPr>
        <xdr:cNvPr id="164" name="TextBox 163">
          <a:extLst>
            <a:ext uri="{FF2B5EF4-FFF2-40B4-BE49-F238E27FC236}">
              <a16:creationId xmlns="" xmlns:a16="http://schemas.microsoft.com/office/drawing/2014/main" id="{00000000-0008-0000-0000-0000A4000000}"/>
            </a:ext>
          </a:extLst>
        </xdr:cNvPr>
        <xdr:cNvSpPr txBox="1"/>
      </xdr:nvSpPr>
      <xdr:spPr>
        <a:xfrm>
          <a:off x="7721206" y="91440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250744</xdr:colOff>
      <xdr:row>12</xdr:row>
      <xdr:rowOff>115996</xdr:rowOff>
    </xdr:from>
    <xdr:to>
      <xdr:col>11</xdr:col>
      <xdr:colOff>185584</xdr:colOff>
      <xdr:row>13</xdr:row>
      <xdr:rowOff>85731</xdr:rowOff>
    </xdr:to>
    <xdr:sp macro="" textlink="">
      <xdr:nvSpPr>
        <xdr:cNvPr id="168" name="TextBox 167">
          <a:extLst>
            <a:ext uri="{FF2B5EF4-FFF2-40B4-BE49-F238E27FC236}">
              <a16:creationId xmlns="" xmlns:a16="http://schemas.microsoft.com/office/drawing/2014/main" id="{00000000-0008-0000-0000-0000A8000000}"/>
            </a:ext>
          </a:extLst>
        </xdr:cNvPr>
        <xdr:cNvSpPr txBox="1"/>
      </xdr:nvSpPr>
      <xdr:spPr>
        <a:xfrm>
          <a:off x="5737144" y="2310556"/>
          <a:ext cx="1154040" cy="152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578558</xdr:colOff>
      <xdr:row>12</xdr:row>
      <xdr:rowOff>102487</xdr:rowOff>
    </xdr:from>
    <xdr:to>
      <xdr:col>14</xdr:col>
      <xdr:colOff>70471</xdr:colOff>
      <xdr:row>13</xdr:row>
      <xdr:rowOff>104079</xdr:rowOff>
    </xdr:to>
    <xdr:sp macro="" textlink="">
      <xdr:nvSpPr>
        <xdr:cNvPr id="169" name="TextBox 168">
          <a:extLst>
            <a:ext uri="{FF2B5EF4-FFF2-40B4-BE49-F238E27FC236}">
              <a16:creationId xmlns=""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7284158" y="2297047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266700</xdr:colOff>
      <xdr:row>7</xdr:row>
      <xdr:rowOff>157212</xdr:rowOff>
    </xdr:from>
    <xdr:to>
      <xdr:col>15</xdr:col>
      <xdr:colOff>472440</xdr:colOff>
      <xdr:row>7</xdr:row>
      <xdr:rowOff>160020</xdr:rowOff>
    </xdr:to>
    <xdr:cxnSp macro="">
      <xdr:nvCxnSpPr>
        <xdr:cNvPr id="171" name="Straight Connector 170">
          <a:extLst>
            <a:ext uri="{FF2B5EF4-FFF2-40B4-BE49-F238E27FC236}">
              <a16:creationId xmlns="" xmlns:a16="http://schemas.microsoft.com/office/drawing/2014/main" id="{00000000-0008-0000-0000-0000AB000000}"/>
            </a:ext>
          </a:extLst>
        </xdr:cNvPr>
        <xdr:cNvCxnSpPr/>
      </xdr:nvCxnSpPr>
      <xdr:spPr>
        <a:xfrm>
          <a:off x="5753100" y="1437372"/>
          <a:ext cx="3863340" cy="280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411480</xdr:colOff>
          <xdr:row>8</xdr:row>
          <xdr:rowOff>22860</xdr:rowOff>
        </xdr:from>
        <xdr:to>
          <xdr:col>15</xdr:col>
          <xdr:colOff>510871</xdr:colOff>
          <xdr:row>12</xdr:row>
          <xdr:rowOff>33462</xdr:rowOff>
        </xdr:to>
        <xdr:pic>
          <xdr:nvPicPr>
            <xdr:cNvPr id="173" name="Picture 172">
              <a:extLst>
                <a:ext uri="{FF2B5EF4-FFF2-40B4-BE49-F238E27FC236}">
                  <a16:creationId xmlns="" xmlns:a16="http://schemas.microsoft.com/office/drawing/2014/main" id="{00000000-0008-0000-0000-0000A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4:$C$27" spid="_x0000_s332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336280" y="1485900"/>
              <a:ext cx="1318591" cy="74212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579120</xdr:colOff>
      <xdr:row>11</xdr:row>
      <xdr:rowOff>137161</xdr:rowOff>
    </xdr:from>
    <xdr:to>
      <xdr:col>12</xdr:col>
      <xdr:colOff>30480</xdr:colOff>
      <xdr:row>14</xdr:row>
      <xdr:rowOff>60961</xdr:rowOff>
    </xdr:to>
    <xdr:sp macro="" textlink="Analysis!U53">
      <xdr:nvSpPr>
        <xdr:cNvPr id="174" name="TextBox 173">
          <a:extLst>
            <a:ext uri="{FF2B5EF4-FFF2-40B4-BE49-F238E27FC236}">
              <a16:creationId xmlns="" xmlns:a16="http://schemas.microsoft.com/office/drawing/2014/main" id="{00000000-0008-0000-0000-0000AE000000}"/>
            </a:ext>
          </a:extLst>
        </xdr:cNvPr>
        <xdr:cNvSpPr txBox="1"/>
      </xdr:nvSpPr>
      <xdr:spPr>
        <a:xfrm>
          <a:off x="6675120" y="2148841"/>
          <a:ext cx="6705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D0DA4AA-B91E-4645-98B4-3174115BF987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40.7K</a:t>
          </a:fld>
          <a:endParaRPr lang="en-US" sz="105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228600</xdr:colOff>
      <xdr:row>14</xdr:row>
      <xdr:rowOff>45720</xdr:rowOff>
    </xdr:from>
    <xdr:to>
      <xdr:col>15</xdr:col>
      <xdr:colOff>518160</xdr:colOff>
      <xdr:row>14</xdr:row>
      <xdr:rowOff>53340</xdr:rowOff>
    </xdr:to>
    <xdr:cxnSp macro="">
      <xdr:nvCxnSpPr>
        <xdr:cNvPr id="175" name="Straight Connector 174">
          <a:extLst>
            <a:ext uri="{FF2B5EF4-FFF2-40B4-BE49-F238E27FC236}">
              <a16:creationId xmlns="" xmlns:a16="http://schemas.microsoft.com/office/drawing/2014/main" id="{00000000-0008-0000-0000-0000AF000000}"/>
            </a:ext>
          </a:extLst>
        </xdr:cNvPr>
        <xdr:cNvCxnSpPr/>
      </xdr:nvCxnSpPr>
      <xdr:spPr>
        <a:xfrm>
          <a:off x="5715000" y="2606040"/>
          <a:ext cx="3947160" cy="762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</xdr:colOff>
      <xdr:row>14</xdr:row>
      <xdr:rowOff>121920</xdr:rowOff>
    </xdr:from>
    <xdr:to>
      <xdr:col>15</xdr:col>
      <xdr:colOff>556260</xdr:colOff>
      <xdr:row>24</xdr:row>
      <xdr:rowOff>22860</xdr:rowOff>
    </xdr:to>
    <xdr:graphicFrame macro="">
      <xdr:nvGraphicFramePr>
        <xdr:cNvPr id="176" name="Chart 175">
          <a:extLst>
            <a:ext uri="{FF2B5EF4-FFF2-40B4-BE49-F238E27FC236}">
              <a16:creationId xmlns="" xmlns:a16="http://schemas.microsoft.com/office/drawing/2014/main" id="{00000000-0008-0000-00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396240</xdr:colOff>
      <xdr:row>15</xdr:row>
      <xdr:rowOff>15240</xdr:rowOff>
    </xdr:from>
    <xdr:to>
      <xdr:col>14</xdr:col>
      <xdr:colOff>168953</xdr:colOff>
      <xdr:row>16</xdr:row>
      <xdr:rowOff>38100</xdr:rowOff>
    </xdr:to>
    <xdr:sp macro="" textlink="">
      <xdr:nvSpPr>
        <xdr:cNvPr id="177" name="TextBox 176">
          <a:extLst>
            <a:ext uri="{FF2B5EF4-FFF2-40B4-BE49-F238E27FC236}">
              <a16:creationId xmlns="" xmlns:a16="http://schemas.microsoft.com/office/drawing/2014/main" id="{00000000-0008-0000-0000-0000B1000000}"/>
            </a:ext>
          </a:extLst>
        </xdr:cNvPr>
        <xdr:cNvSpPr txBox="1"/>
      </xdr:nvSpPr>
      <xdr:spPr>
        <a:xfrm>
          <a:off x="7711440" y="2758440"/>
          <a:ext cx="991913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Unit Sold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441960</xdr:colOff>
      <xdr:row>15</xdr:row>
      <xdr:rowOff>129540</xdr:rowOff>
    </xdr:from>
    <xdr:to>
      <xdr:col>13</xdr:col>
      <xdr:colOff>91440</xdr:colOff>
      <xdr:row>15</xdr:row>
      <xdr:rowOff>133350</xdr:rowOff>
    </xdr:to>
    <xdr:cxnSp macro="">
      <xdr:nvCxnSpPr>
        <xdr:cNvPr id="23" name="Straight Connector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7757160" y="2872740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168953</xdr:colOff>
      <xdr:row>15</xdr:row>
      <xdr:rowOff>118110</xdr:rowOff>
    </xdr:from>
    <xdr:to>
      <xdr:col>14</xdr:col>
      <xdr:colOff>426720</xdr:colOff>
      <xdr:row>15</xdr:row>
      <xdr:rowOff>121920</xdr:rowOff>
    </xdr:to>
    <xdr:cxnSp macro="">
      <xdr:nvCxnSpPr>
        <xdr:cNvPr id="180" name="Straight Connector 179">
          <a:extLst>
            <a:ext uri="{FF2B5EF4-FFF2-40B4-BE49-F238E27FC236}">
              <a16:creationId xmlns="" xmlns:a16="http://schemas.microsoft.com/office/drawing/2014/main" id="{00000000-0008-0000-0000-0000B4000000}"/>
            </a:ext>
          </a:extLst>
        </xdr:cNvPr>
        <xdr:cNvCxnSpPr>
          <a:stCxn id="177" idx="3"/>
        </xdr:cNvCxnSpPr>
      </xdr:nvCxnSpPr>
      <xdr:spPr>
        <a:xfrm>
          <a:off x="8703353" y="2861310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25</xdr:row>
      <xdr:rowOff>165735</xdr:rowOff>
    </xdr:from>
    <xdr:to>
      <xdr:col>16</xdr:col>
      <xdr:colOff>5715</xdr:colOff>
      <xdr:row>38</xdr:row>
      <xdr:rowOff>106680</xdr:rowOff>
    </xdr:to>
    <xdr:graphicFrame macro="">
      <xdr:nvGraphicFramePr>
        <xdr:cNvPr id="188" name="Chart 187">
          <a:extLst>
            <a:ext uri="{FF2B5EF4-FFF2-40B4-BE49-F238E27FC236}">
              <a16:creationId xmlns="" xmlns:a16="http://schemas.microsoft.com/office/drawing/2014/main" id="{00000000-0008-0000-00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129540</xdr:colOff>
      <xdr:row>24</xdr:row>
      <xdr:rowOff>30480</xdr:rowOff>
    </xdr:from>
    <xdr:to>
      <xdr:col>15</xdr:col>
      <xdr:colOff>433015</xdr:colOff>
      <xdr:row>25</xdr:row>
      <xdr:rowOff>113306</xdr:rowOff>
    </xdr:to>
    <xdr:sp macro="" textlink="">
      <xdr:nvSpPr>
        <xdr:cNvPr id="187" name="Rectangle 186">
          <a:extLst>
            <a:ext uri="{FF2B5EF4-FFF2-40B4-BE49-F238E27FC236}">
              <a16:creationId xmlns="" xmlns:a16="http://schemas.microsoft.com/office/drawing/2014/main" id="{00000000-0008-0000-0000-0000BB000000}"/>
            </a:ext>
          </a:extLst>
        </xdr:cNvPr>
        <xdr:cNvSpPr/>
      </xdr:nvSpPr>
      <xdr:spPr>
        <a:xfrm>
          <a:off x="5615940" y="4419600"/>
          <a:ext cx="3961075" cy="265706"/>
        </a:xfrm>
        <a:prstGeom prst="rect">
          <a:avLst/>
        </a:prstGeom>
        <a:solidFill>
          <a:schemeClr val="tx2"/>
        </a:solidFill>
        <a:ln w="1905">
          <a:solidFill>
            <a:srgbClr val="92D050">
              <a:alpha val="57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SALES VS MARGIN %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Trend</a:t>
          </a:r>
          <a:endParaRPr lang="en-IN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4306</xdr:colOff>
      <xdr:row>12</xdr:row>
      <xdr:rowOff>20872</xdr:rowOff>
    </xdr:from>
    <xdr:to>
      <xdr:col>4</xdr:col>
      <xdr:colOff>518160</xdr:colOff>
      <xdr:row>13</xdr:row>
      <xdr:rowOff>60960</xdr:rowOff>
    </xdr:to>
    <xdr:sp macro="" textlink="">
      <xdr:nvSpPr>
        <xdr:cNvPr id="189" name="TextBox 188">
          <a:extLst>
            <a:ext uri="{FF2B5EF4-FFF2-40B4-BE49-F238E27FC236}">
              <a16:creationId xmlns="" xmlns:a16="http://schemas.microsoft.com/office/drawing/2014/main" id="{00000000-0008-0000-0000-0000BD000000}"/>
            </a:ext>
          </a:extLst>
        </xdr:cNvPr>
        <xdr:cNvSpPr txBox="1"/>
      </xdr:nvSpPr>
      <xdr:spPr>
        <a:xfrm>
          <a:off x="1833106" y="2215432"/>
          <a:ext cx="1123454" cy="222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335280</xdr:colOff>
      <xdr:row>11</xdr:row>
      <xdr:rowOff>144781</xdr:rowOff>
    </xdr:from>
    <xdr:to>
      <xdr:col>5</xdr:col>
      <xdr:colOff>586740</xdr:colOff>
      <xdr:row>13</xdr:row>
      <xdr:rowOff>99061</xdr:rowOff>
    </xdr:to>
    <xdr:sp macro="" textlink="Analysis!U56">
      <xdr:nvSpPr>
        <xdr:cNvPr id="190" name="TextBox 189">
          <a:extLst>
            <a:ext uri="{FF2B5EF4-FFF2-40B4-BE49-F238E27FC236}">
              <a16:creationId xmlns="" xmlns:a16="http://schemas.microsoft.com/office/drawing/2014/main" id="{00000000-0008-0000-0000-0000BE000000}"/>
            </a:ext>
          </a:extLst>
        </xdr:cNvPr>
        <xdr:cNvSpPr txBox="1"/>
      </xdr:nvSpPr>
      <xdr:spPr>
        <a:xfrm>
          <a:off x="2773680" y="2156461"/>
          <a:ext cx="86106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1A037D6-7CA5-462E-823A-A1142214AA2C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4.8M</a:t>
          </a:fld>
          <a:endParaRPr lang="en-US" sz="11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213360</xdr:colOff>
      <xdr:row>12</xdr:row>
      <xdr:rowOff>45491</xdr:rowOff>
    </xdr:from>
    <xdr:to>
      <xdr:col>7</xdr:col>
      <xdr:colOff>314873</xdr:colOff>
      <xdr:row>13</xdr:row>
      <xdr:rowOff>47083</xdr:rowOff>
    </xdr:to>
    <xdr:sp macro="" textlink="">
      <xdr:nvSpPr>
        <xdr:cNvPr id="191" name="TextBox 190">
          <a:extLst>
            <a:ext uri="{FF2B5EF4-FFF2-40B4-BE49-F238E27FC236}">
              <a16:creationId xmlns="" xmlns:a16="http://schemas.microsoft.com/office/drawing/2014/main" id="{00000000-0008-0000-0000-0000BF000000}"/>
            </a:ext>
          </a:extLst>
        </xdr:cNvPr>
        <xdr:cNvSpPr txBox="1"/>
      </xdr:nvSpPr>
      <xdr:spPr>
        <a:xfrm>
          <a:off x="3261360" y="2240051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17149</xdr:colOff>
      <xdr:row>12</xdr:row>
      <xdr:rowOff>38100</xdr:rowOff>
    </xdr:from>
    <xdr:to>
      <xdr:col>9</xdr:col>
      <xdr:colOff>238190</xdr:colOff>
      <xdr:row>13</xdr:row>
      <xdr:rowOff>57914</xdr:rowOff>
    </xdr:to>
    <xdr:sp macro="" textlink="Analysis!T55">
      <xdr:nvSpPr>
        <xdr:cNvPr id="192" name="TextBox 191">
          <a:extLst>
            <a:ext uri="{FF2B5EF4-FFF2-40B4-BE49-F238E27FC236}">
              <a16:creationId xmlns="" xmlns:a16="http://schemas.microsoft.com/office/drawing/2014/main" id="{00000000-0008-0000-0000-0000C0000000}"/>
            </a:ext>
          </a:extLst>
        </xdr:cNvPr>
        <xdr:cNvSpPr txBox="1"/>
      </xdr:nvSpPr>
      <xdr:spPr>
        <a:xfrm>
          <a:off x="4284349" y="2232660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CB88BC-1FB3-4F50-BF4F-210CF42B73B6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Small Business</a:t>
          </a:fld>
          <a:endParaRPr lang="en-US" sz="105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606238</xdr:colOff>
      <xdr:row>13</xdr:row>
      <xdr:rowOff>152400</xdr:rowOff>
    </xdr:from>
    <xdr:to>
      <xdr:col>4</xdr:col>
      <xdr:colOff>313947</xdr:colOff>
      <xdr:row>14</xdr:row>
      <xdr:rowOff>151733</xdr:rowOff>
    </xdr:to>
    <xdr:sp macro="" textlink="">
      <xdr:nvSpPr>
        <xdr:cNvPr id="193" name="TextBox 192">
          <a:extLst>
            <a:ext uri="{FF2B5EF4-FFF2-40B4-BE49-F238E27FC236}">
              <a16:creationId xmlns="" xmlns:a16="http://schemas.microsoft.com/office/drawing/2014/main" id="{00000000-0008-0000-0000-0000C1000000}"/>
            </a:ext>
          </a:extLst>
        </xdr:cNvPr>
        <xdr:cNvSpPr txBox="1"/>
      </xdr:nvSpPr>
      <xdr:spPr>
        <a:xfrm>
          <a:off x="1825438" y="2529840"/>
          <a:ext cx="926909" cy="182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Average</a:t>
          </a:r>
        </a:p>
      </xdr:txBody>
    </xdr:sp>
    <xdr:clientData/>
  </xdr:twoCellAnchor>
  <xdr:twoCellAnchor>
    <xdr:from>
      <xdr:col>4</xdr:col>
      <xdr:colOff>89408</xdr:colOff>
      <xdr:row>13</xdr:row>
      <xdr:rowOff>150951</xdr:rowOff>
    </xdr:from>
    <xdr:to>
      <xdr:col>6</xdr:col>
      <xdr:colOff>236921</xdr:colOff>
      <xdr:row>15</xdr:row>
      <xdr:rowOff>23790</xdr:rowOff>
    </xdr:to>
    <xdr:sp macro="" textlink="">
      <xdr:nvSpPr>
        <xdr:cNvPr id="194" name="TextBox 193">
          <a:extLst>
            <a:ext uri="{FF2B5EF4-FFF2-40B4-BE49-F238E27FC236}">
              <a16:creationId xmlns="" xmlns:a16="http://schemas.microsoft.com/office/drawing/2014/main" id="{00000000-0008-0000-0000-0000C2000000}"/>
            </a:ext>
          </a:extLst>
        </xdr:cNvPr>
        <xdr:cNvSpPr txBox="1"/>
      </xdr:nvSpPr>
      <xdr:spPr>
        <a:xfrm>
          <a:off x="2527808" y="2528391"/>
          <a:ext cx="1366713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Ave. Sales Price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304066</xdr:colOff>
      <xdr:row>14</xdr:row>
      <xdr:rowOff>179781</xdr:rowOff>
    </xdr:from>
    <xdr:to>
      <xdr:col>4</xdr:col>
      <xdr:colOff>319883</xdr:colOff>
      <xdr:row>15</xdr:row>
      <xdr:rowOff>172550</xdr:rowOff>
    </xdr:to>
    <xdr:sp macro="" textlink="">
      <xdr:nvSpPr>
        <xdr:cNvPr id="195" name="TextBox 194">
          <a:extLst>
            <a:ext uri="{FF2B5EF4-FFF2-40B4-BE49-F238E27FC236}">
              <a16:creationId xmlns="" xmlns:a16="http://schemas.microsoft.com/office/drawing/2014/main" id="{00000000-0008-0000-0000-0000C3000000}"/>
            </a:ext>
          </a:extLst>
        </xdr:cNvPr>
        <xdr:cNvSpPr txBox="1"/>
      </xdr:nvSpPr>
      <xdr:spPr>
        <a:xfrm>
          <a:off x="2132866" y="2740101"/>
          <a:ext cx="625417" cy="175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6</xdr:col>
      <xdr:colOff>67101</xdr:colOff>
      <xdr:row>14</xdr:row>
      <xdr:rowOff>174224</xdr:rowOff>
    </xdr:from>
    <xdr:to>
      <xdr:col>7</xdr:col>
      <xdr:colOff>144085</xdr:colOff>
      <xdr:row>16</xdr:row>
      <xdr:rowOff>22379</xdr:rowOff>
    </xdr:to>
    <xdr:sp macro="" textlink="[1]Analysis!B49">
      <xdr:nvSpPr>
        <xdr:cNvPr id="196" name="TextBox 195">
          <a:extLst>
            <a:ext uri="{FF2B5EF4-FFF2-40B4-BE49-F238E27FC236}">
              <a16:creationId xmlns="" xmlns:a16="http://schemas.microsoft.com/office/drawing/2014/main" id="{00000000-0008-0000-0000-0000C4000000}"/>
            </a:ext>
          </a:extLst>
        </xdr:cNvPr>
        <xdr:cNvSpPr txBox="1"/>
      </xdr:nvSpPr>
      <xdr:spPr>
        <a:xfrm>
          <a:off x="3724701" y="2734544"/>
          <a:ext cx="686584" cy="213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156685E-EC8D-4833-B047-60C2D0562863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18%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248934</xdr:colOff>
      <xdr:row>13</xdr:row>
      <xdr:rowOff>152774</xdr:rowOff>
    </xdr:from>
    <xdr:to>
      <xdr:col>7</xdr:col>
      <xdr:colOff>410206</xdr:colOff>
      <xdr:row>15</xdr:row>
      <xdr:rowOff>25613</xdr:rowOff>
    </xdr:to>
    <xdr:sp macro="" textlink="">
      <xdr:nvSpPr>
        <xdr:cNvPr id="197" name="TextBox 196">
          <a:extLst>
            <a:ext uri="{FF2B5EF4-FFF2-40B4-BE49-F238E27FC236}">
              <a16:creationId xmlns="" xmlns:a16="http://schemas.microsoft.com/office/drawing/2014/main" id="{00000000-0008-0000-0000-0000C5000000}"/>
            </a:ext>
          </a:extLst>
        </xdr:cNvPr>
        <xdr:cNvSpPr txBox="1"/>
      </xdr:nvSpPr>
      <xdr:spPr>
        <a:xfrm>
          <a:off x="3296934" y="2530214"/>
          <a:ext cx="1380472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% Sales Contribution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318235</xdr:colOff>
      <xdr:row>15</xdr:row>
      <xdr:rowOff>26293</xdr:rowOff>
    </xdr:from>
    <xdr:to>
      <xdr:col>4</xdr:col>
      <xdr:colOff>467824</xdr:colOff>
      <xdr:row>15</xdr:row>
      <xdr:rowOff>177126</xdr:rowOff>
    </xdr:to>
    <xdr:sp macro="" textlink="">
      <xdr:nvSpPr>
        <xdr:cNvPr id="198" name="Freeform 57">
          <a:extLst>
            <a:ext uri="{FF2B5EF4-FFF2-40B4-BE49-F238E27FC236}">
              <a16:creationId xmlns="" xmlns:a16="http://schemas.microsoft.com/office/drawing/2014/main" id="{00000000-0008-0000-0000-0000C6000000}"/>
            </a:ext>
          </a:extLst>
        </xdr:cNvPr>
        <xdr:cNvSpPr>
          <a:spLocks noEditPoints="1"/>
        </xdr:cNvSpPr>
      </xdr:nvSpPr>
      <xdr:spPr bwMode="auto">
        <a:xfrm>
          <a:off x="2756635" y="2769493"/>
          <a:ext cx="149589" cy="150833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4D515D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/>
        </a:p>
      </xdr:txBody>
    </xdr:sp>
    <xdr:clientData/>
  </xdr:twoCellAnchor>
  <xdr:twoCellAnchor editAs="oneCell">
    <xdr:from>
      <xdr:col>3</xdr:col>
      <xdr:colOff>83821</xdr:colOff>
      <xdr:row>14</xdr:row>
      <xdr:rowOff>129685</xdr:rowOff>
    </xdr:from>
    <xdr:to>
      <xdr:col>3</xdr:col>
      <xdr:colOff>342901</xdr:colOff>
      <xdr:row>16</xdr:row>
      <xdr:rowOff>62190</xdr:rowOff>
    </xdr:to>
    <xdr:pic>
      <xdr:nvPicPr>
        <xdr:cNvPr id="199" name="Picture 198">
          <a:extLst>
            <a:ext uri="{FF2B5EF4-FFF2-40B4-BE49-F238E27FC236}">
              <a16:creationId xmlns="" xmlns:a16="http://schemas.microsoft.com/office/drawing/2014/main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12621" y="2690005"/>
          <a:ext cx="259080" cy="298265"/>
        </a:xfrm>
        <a:prstGeom prst="rect">
          <a:avLst/>
        </a:prstGeom>
      </xdr:spPr>
    </xdr:pic>
    <xdr:clientData/>
  </xdr:twoCellAnchor>
  <xdr:twoCellAnchor>
    <xdr:from>
      <xdr:col>7</xdr:col>
      <xdr:colOff>374188</xdr:colOff>
      <xdr:row>13</xdr:row>
      <xdr:rowOff>149460</xdr:rowOff>
    </xdr:from>
    <xdr:to>
      <xdr:col>9</xdr:col>
      <xdr:colOff>535461</xdr:colOff>
      <xdr:row>15</xdr:row>
      <xdr:rowOff>22299</xdr:rowOff>
    </xdr:to>
    <xdr:sp macro="" textlink="">
      <xdr:nvSpPr>
        <xdr:cNvPr id="200" name="TextBox 199">
          <a:extLst>
            <a:ext uri="{FF2B5EF4-FFF2-40B4-BE49-F238E27FC236}">
              <a16:creationId xmlns="" xmlns:a16="http://schemas.microsoft.com/office/drawing/2014/main" id="{00000000-0008-0000-0000-0000C8000000}"/>
            </a:ext>
          </a:extLst>
        </xdr:cNvPr>
        <xdr:cNvSpPr txBox="1"/>
      </xdr:nvSpPr>
      <xdr:spPr>
        <a:xfrm>
          <a:off x="4641388" y="2526900"/>
          <a:ext cx="1380473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156665</xdr:colOff>
      <xdr:row>14</xdr:row>
      <xdr:rowOff>155339</xdr:rowOff>
    </xdr:from>
    <xdr:to>
      <xdr:col>9</xdr:col>
      <xdr:colOff>324098</xdr:colOff>
      <xdr:row>15</xdr:row>
      <xdr:rowOff>179805</xdr:rowOff>
    </xdr:to>
    <xdr:sp macro="" textlink="[1]Analysis!B47">
      <xdr:nvSpPr>
        <xdr:cNvPr id="201" name="TextBox 200">
          <a:extLst>
            <a:ext uri="{FF2B5EF4-FFF2-40B4-BE49-F238E27FC236}">
              <a16:creationId xmlns="" xmlns:a16="http://schemas.microsoft.com/office/drawing/2014/main" id="{00000000-0008-0000-0000-0000C9000000}"/>
            </a:ext>
          </a:extLst>
        </xdr:cNvPr>
        <xdr:cNvSpPr txBox="1"/>
      </xdr:nvSpPr>
      <xdr:spPr>
        <a:xfrm>
          <a:off x="5033465" y="2715659"/>
          <a:ext cx="777033" cy="207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23CFD0A-F680-40CB-8DD8-B2601A2E1DDC}" type="TxLink">
            <a:rPr lang="en-US" sz="8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May</a:t>
          </a:fld>
          <a:endParaRPr lang="en-US" sz="8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434925</xdr:colOff>
      <xdr:row>15</xdr:row>
      <xdr:rowOff>22827</xdr:rowOff>
    </xdr:from>
    <xdr:to>
      <xdr:col>5</xdr:col>
      <xdr:colOff>450741</xdr:colOff>
      <xdr:row>16</xdr:row>
      <xdr:rowOff>15596</xdr:rowOff>
    </xdr:to>
    <xdr:sp macro="" textlink="[1]Analysis!B42">
      <xdr:nvSpPr>
        <xdr:cNvPr id="202" name="TextBox 201">
          <a:extLst>
            <a:ext uri="{FF2B5EF4-FFF2-40B4-BE49-F238E27FC236}">
              <a16:creationId xmlns="" xmlns:a16="http://schemas.microsoft.com/office/drawing/2014/main" id="{00000000-0008-0000-0000-0000CA000000}"/>
            </a:ext>
          </a:extLst>
        </xdr:cNvPr>
        <xdr:cNvSpPr txBox="1"/>
      </xdr:nvSpPr>
      <xdr:spPr>
        <a:xfrm>
          <a:off x="2873325" y="2766027"/>
          <a:ext cx="625416" cy="175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EB44572-01A1-4A04-B792-D98E171962B1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 99 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556587</xdr:colOff>
      <xdr:row>15</xdr:row>
      <xdr:rowOff>7736</xdr:rowOff>
    </xdr:from>
    <xdr:to>
      <xdr:col>6</xdr:col>
      <xdr:colOff>131022</xdr:colOff>
      <xdr:row>15</xdr:row>
      <xdr:rowOff>161502</xdr:rowOff>
    </xdr:to>
    <xdr:grpSp>
      <xdr:nvGrpSpPr>
        <xdr:cNvPr id="203" name="Group 202">
          <a:extLst>
            <a:ext uri="{FF2B5EF4-FFF2-40B4-BE49-F238E27FC236}">
              <a16:creationId xmlns="" xmlns:a16="http://schemas.microsoft.com/office/drawing/2014/main" id="{00000000-0008-0000-0000-0000CB000000}"/>
            </a:ext>
          </a:extLst>
        </xdr:cNvPr>
        <xdr:cNvGrpSpPr/>
      </xdr:nvGrpSpPr>
      <xdr:grpSpPr>
        <a:xfrm>
          <a:off x="3604587" y="2865236"/>
          <a:ext cx="184035" cy="153766"/>
          <a:chOff x="1168380" y="3486162"/>
          <a:chExt cx="381000" cy="365126"/>
        </a:xfrm>
        <a:solidFill>
          <a:srgbClr val="4D515D"/>
        </a:solidFill>
      </xdr:grpSpPr>
      <xdr:sp macro="" textlink="">
        <xdr:nvSpPr>
          <xdr:cNvPr id="204" name="Freeform 53">
            <a:extLst>
              <a:ext uri="{FF2B5EF4-FFF2-40B4-BE49-F238E27FC236}">
                <a16:creationId xmlns="" xmlns:a16="http://schemas.microsoft.com/office/drawing/2014/main" id="{00000000-0008-0000-0000-0000CC00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5" name="Freeform 54">
            <a:extLst>
              <a:ext uri="{FF2B5EF4-FFF2-40B4-BE49-F238E27FC236}">
                <a16:creationId xmlns="" xmlns:a16="http://schemas.microsoft.com/office/drawing/2014/main" id="{00000000-0008-0000-0000-0000CD00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6" name="Freeform 55">
            <a:extLst>
              <a:ext uri="{FF2B5EF4-FFF2-40B4-BE49-F238E27FC236}">
                <a16:creationId xmlns="" xmlns:a16="http://schemas.microsoft.com/office/drawing/2014/main" id="{00000000-0008-0000-0000-0000CE00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7</xdr:col>
      <xdr:colOff>334594</xdr:colOff>
      <xdr:row>14</xdr:row>
      <xdr:rowOff>176050</xdr:rowOff>
    </xdr:from>
    <xdr:to>
      <xdr:col>7</xdr:col>
      <xdr:colOff>499941</xdr:colOff>
      <xdr:row>15</xdr:row>
      <xdr:rowOff>167293</xdr:rowOff>
    </xdr:to>
    <xdr:grpSp>
      <xdr:nvGrpSpPr>
        <xdr:cNvPr id="207" name="Group 206">
          <a:extLst>
            <a:ext uri="{FF2B5EF4-FFF2-40B4-BE49-F238E27FC236}">
              <a16:creationId xmlns="" xmlns:a16="http://schemas.microsoft.com/office/drawing/2014/main" id="{00000000-0008-0000-0000-0000CF000000}"/>
            </a:ext>
          </a:extLst>
        </xdr:cNvPr>
        <xdr:cNvGrpSpPr/>
      </xdr:nvGrpSpPr>
      <xdr:grpSpPr>
        <a:xfrm>
          <a:off x="4601794" y="2843050"/>
          <a:ext cx="165347" cy="181743"/>
          <a:chOff x="1092200" y="1422400"/>
          <a:chExt cx="622301" cy="687388"/>
        </a:xfrm>
        <a:solidFill>
          <a:srgbClr val="4D515D"/>
        </a:solidFill>
      </xdr:grpSpPr>
      <xdr:sp macro="" textlink="">
        <xdr:nvSpPr>
          <xdr:cNvPr id="208" name="Freeform 79">
            <a:extLst>
              <a:ext uri="{FF2B5EF4-FFF2-40B4-BE49-F238E27FC236}">
                <a16:creationId xmlns="" xmlns:a16="http://schemas.microsoft.com/office/drawing/2014/main" id="{00000000-0008-0000-0000-0000D0000000}"/>
              </a:ext>
            </a:extLst>
          </xdr:cNvPr>
          <xdr:cNvSpPr>
            <a:spLocks/>
          </xdr:cNvSpPr>
        </xdr:nvSpPr>
        <xdr:spPr bwMode="auto">
          <a:xfrm>
            <a:off x="1160463" y="1471613"/>
            <a:ext cx="88900" cy="284163"/>
          </a:xfrm>
          <a:custGeom>
            <a:avLst/>
            <a:gdLst>
              <a:gd name="T0" fmla="*/ 352 w 447"/>
              <a:gd name="T1" fmla="*/ 5 h 1431"/>
              <a:gd name="T2" fmla="*/ 390 w 447"/>
              <a:gd name="T3" fmla="*/ 28 h 1431"/>
              <a:gd name="T4" fmla="*/ 433 w 447"/>
              <a:gd name="T5" fmla="*/ 74 h 1431"/>
              <a:gd name="T6" fmla="*/ 446 w 447"/>
              <a:gd name="T7" fmla="*/ 112 h 1431"/>
              <a:gd name="T8" fmla="*/ 444 w 447"/>
              <a:gd name="T9" fmla="*/ 152 h 1431"/>
              <a:gd name="T10" fmla="*/ 424 w 447"/>
              <a:gd name="T11" fmla="*/ 188 h 1431"/>
              <a:gd name="T12" fmla="*/ 405 w 447"/>
              <a:gd name="T13" fmla="*/ 209 h 1431"/>
              <a:gd name="T14" fmla="*/ 338 w 447"/>
              <a:gd name="T15" fmla="*/ 310 h 1431"/>
              <a:gd name="T16" fmla="*/ 286 w 447"/>
              <a:gd name="T17" fmla="*/ 420 h 1431"/>
              <a:gd name="T18" fmla="*/ 251 w 447"/>
              <a:gd name="T19" fmla="*/ 534 h 1431"/>
              <a:gd name="T20" fmla="*/ 235 w 447"/>
              <a:gd name="T21" fmla="*/ 652 h 1431"/>
              <a:gd name="T22" fmla="*/ 234 w 447"/>
              <a:gd name="T23" fmla="*/ 770 h 1431"/>
              <a:gd name="T24" fmla="*/ 249 w 447"/>
              <a:gd name="T25" fmla="*/ 888 h 1431"/>
              <a:gd name="T26" fmla="*/ 283 w 447"/>
              <a:gd name="T27" fmla="*/ 1002 h 1431"/>
              <a:gd name="T28" fmla="*/ 333 w 447"/>
              <a:gd name="T29" fmla="*/ 1112 h 1431"/>
              <a:gd name="T30" fmla="*/ 392 w 447"/>
              <a:gd name="T31" fmla="*/ 1202 h 1431"/>
              <a:gd name="T32" fmla="*/ 437 w 447"/>
              <a:gd name="T33" fmla="*/ 1262 h 1431"/>
              <a:gd name="T34" fmla="*/ 447 w 447"/>
              <a:gd name="T35" fmla="*/ 1300 h 1431"/>
              <a:gd name="T36" fmla="*/ 442 w 447"/>
              <a:gd name="T37" fmla="*/ 1339 h 1431"/>
              <a:gd name="T38" fmla="*/ 420 w 447"/>
              <a:gd name="T39" fmla="*/ 1373 h 1431"/>
              <a:gd name="T40" fmla="*/ 372 w 447"/>
              <a:gd name="T41" fmla="*/ 1418 h 1431"/>
              <a:gd name="T42" fmla="*/ 329 w 447"/>
              <a:gd name="T43" fmla="*/ 1431 h 1431"/>
              <a:gd name="T44" fmla="*/ 287 w 447"/>
              <a:gd name="T45" fmla="*/ 1424 h 1431"/>
              <a:gd name="T46" fmla="*/ 250 w 447"/>
              <a:gd name="T47" fmla="*/ 1398 h 1431"/>
              <a:gd name="T48" fmla="*/ 179 w 447"/>
              <a:gd name="T49" fmla="*/ 1303 h 1431"/>
              <a:gd name="T50" fmla="*/ 107 w 447"/>
              <a:gd name="T51" fmla="*/ 1179 h 1431"/>
              <a:gd name="T52" fmla="*/ 49 w 447"/>
              <a:gd name="T53" fmla="*/ 1036 h 1431"/>
              <a:gd name="T54" fmla="*/ 12 w 447"/>
              <a:gd name="T55" fmla="*/ 878 h 1431"/>
              <a:gd name="T56" fmla="*/ 0 w 447"/>
              <a:gd name="T57" fmla="*/ 715 h 1431"/>
              <a:gd name="T58" fmla="*/ 12 w 447"/>
              <a:gd name="T59" fmla="*/ 553 h 1431"/>
              <a:gd name="T60" fmla="*/ 49 w 447"/>
              <a:gd name="T61" fmla="*/ 395 h 1431"/>
              <a:gd name="T62" fmla="*/ 105 w 447"/>
              <a:gd name="T63" fmla="*/ 256 h 1431"/>
              <a:gd name="T64" fmla="*/ 170 w 447"/>
              <a:gd name="T65" fmla="*/ 140 h 1431"/>
              <a:gd name="T66" fmla="*/ 250 w 447"/>
              <a:gd name="T67" fmla="*/ 33 h 1431"/>
              <a:gd name="T68" fmla="*/ 287 w 447"/>
              <a:gd name="T69" fmla="*/ 7 h 1431"/>
              <a:gd name="T70" fmla="*/ 329 w 447"/>
              <a:gd name="T71" fmla="*/ 0 h 1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7" h="1431">
                <a:moveTo>
                  <a:pt x="329" y="0"/>
                </a:moveTo>
                <a:lnTo>
                  <a:pt x="352" y="5"/>
                </a:lnTo>
                <a:lnTo>
                  <a:pt x="372" y="14"/>
                </a:lnTo>
                <a:lnTo>
                  <a:pt x="390" y="28"/>
                </a:lnTo>
                <a:lnTo>
                  <a:pt x="420" y="58"/>
                </a:lnTo>
                <a:lnTo>
                  <a:pt x="433" y="74"/>
                </a:lnTo>
                <a:lnTo>
                  <a:pt x="442" y="93"/>
                </a:lnTo>
                <a:lnTo>
                  <a:pt x="446" y="112"/>
                </a:lnTo>
                <a:lnTo>
                  <a:pt x="447" y="132"/>
                </a:lnTo>
                <a:lnTo>
                  <a:pt x="444" y="152"/>
                </a:lnTo>
                <a:lnTo>
                  <a:pt x="436" y="171"/>
                </a:lnTo>
                <a:lnTo>
                  <a:pt x="424" y="188"/>
                </a:lnTo>
                <a:lnTo>
                  <a:pt x="413" y="200"/>
                </a:lnTo>
                <a:lnTo>
                  <a:pt x="405" y="209"/>
                </a:lnTo>
                <a:lnTo>
                  <a:pt x="370" y="258"/>
                </a:lnTo>
                <a:lnTo>
                  <a:pt x="338" y="310"/>
                </a:lnTo>
                <a:lnTo>
                  <a:pt x="310" y="365"/>
                </a:lnTo>
                <a:lnTo>
                  <a:pt x="286" y="420"/>
                </a:lnTo>
                <a:lnTo>
                  <a:pt x="267" y="477"/>
                </a:lnTo>
                <a:lnTo>
                  <a:pt x="251" y="534"/>
                </a:lnTo>
                <a:lnTo>
                  <a:pt x="241" y="593"/>
                </a:lnTo>
                <a:lnTo>
                  <a:pt x="235" y="652"/>
                </a:lnTo>
                <a:lnTo>
                  <a:pt x="231" y="711"/>
                </a:lnTo>
                <a:lnTo>
                  <a:pt x="234" y="770"/>
                </a:lnTo>
                <a:lnTo>
                  <a:pt x="240" y="829"/>
                </a:lnTo>
                <a:lnTo>
                  <a:pt x="249" y="888"/>
                </a:lnTo>
                <a:lnTo>
                  <a:pt x="264" y="946"/>
                </a:lnTo>
                <a:lnTo>
                  <a:pt x="283" y="1002"/>
                </a:lnTo>
                <a:lnTo>
                  <a:pt x="305" y="1058"/>
                </a:lnTo>
                <a:lnTo>
                  <a:pt x="333" y="1112"/>
                </a:lnTo>
                <a:lnTo>
                  <a:pt x="361" y="1158"/>
                </a:lnTo>
                <a:lnTo>
                  <a:pt x="392" y="1202"/>
                </a:lnTo>
                <a:lnTo>
                  <a:pt x="425" y="1245"/>
                </a:lnTo>
                <a:lnTo>
                  <a:pt x="437" y="1262"/>
                </a:lnTo>
                <a:lnTo>
                  <a:pt x="444" y="1280"/>
                </a:lnTo>
                <a:lnTo>
                  <a:pt x="447" y="1300"/>
                </a:lnTo>
                <a:lnTo>
                  <a:pt x="446" y="1320"/>
                </a:lnTo>
                <a:lnTo>
                  <a:pt x="442" y="1339"/>
                </a:lnTo>
                <a:lnTo>
                  <a:pt x="433" y="1357"/>
                </a:lnTo>
                <a:lnTo>
                  <a:pt x="420" y="1373"/>
                </a:lnTo>
                <a:lnTo>
                  <a:pt x="390" y="1403"/>
                </a:lnTo>
                <a:lnTo>
                  <a:pt x="372" y="1418"/>
                </a:lnTo>
                <a:lnTo>
                  <a:pt x="352" y="1426"/>
                </a:lnTo>
                <a:lnTo>
                  <a:pt x="329" y="1431"/>
                </a:lnTo>
                <a:lnTo>
                  <a:pt x="308" y="1430"/>
                </a:lnTo>
                <a:lnTo>
                  <a:pt x="287" y="1424"/>
                </a:lnTo>
                <a:lnTo>
                  <a:pt x="267" y="1414"/>
                </a:lnTo>
                <a:lnTo>
                  <a:pt x="250" y="1398"/>
                </a:lnTo>
                <a:lnTo>
                  <a:pt x="214" y="1352"/>
                </a:lnTo>
                <a:lnTo>
                  <a:pt x="179" y="1303"/>
                </a:lnTo>
                <a:lnTo>
                  <a:pt x="141" y="1242"/>
                </a:lnTo>
                <a:lnTo>
                  <a:pt x="107" y="1179"/>
                </a:lnTo>
                <a:lnTo>
                  <a:pt x="78" y="1113"/>
                </a:lnTo>
                <a:lnTo>
                  <a:pt x="49" y="1036"/>
                </a:lnTo>
                <a:lnTo>
                  <a:pt x="28" y="958"/>
                </a:lnTo>
                <a:lnTo>
                  <a:pt x="12" y="878"/>
                </a:lnTo>
                <a:lnTo>
                  <a:pt x="3" y="797"/>
                </a:lnTo>
                <a:lnTo>
                  <a:pt x="0" y="715"/>
                </a:lnTo>
                <a:lnTo>
                  <a:pt x="3" y="634"/>
                </a:lnTo>
                <a:lnTo>
                  <a:pt x="12" y="553"/>
                </a:lnTo>
                <a:lnTo>
                  <a:pt x="28" y="473"/>
                </a:lnTo>
                <a:lnTo>
                  <a:pt x="49" y="395"/>
                </a:lnTo>
                <a:lnTo>
                  <a:pt x="78" y="318"/>
                </a:lnTo>
                <a:lnTo>
                  <a:pt x="105" y="256"/>
                </a:lnTo>
                <a:lnTo>
                  <a:pt x="136" y="197"/>
                </a:lnTo>
                <a:lnTo>
                  <a:pt x="170" y="140"/>
                </a:lnTo>
                <a:lnTo>
                  <a:pt x="209" y="86"/>
                </a:lnTo>
                <a:lnTo>
                  <a:pt x="250" y="33"/>
                </a:lnTo>
                <a:lnTo>
                  <a:pt x="267" y="17"/>
                </a:lnTo>
                <a:lnTo>
                  <a:pt x="287" y="7"/>
                </a:lnTo>
                <a:lnTo>
                  <a:pt x="308" y="1"/>
                </a:lnTo>
                <a:lnTo>
                  <a:pt x="32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09" name="Freeform 80">
            <a:extLst>
              <a:ext uri="{FF2B5EF4-FFF2-40B4-BE49-F238E27FC236}">
                <a16:creationId xmlns="" xmlns:a16="http://schemas.microsoft.com/office/drawing/2014/main" id="{00000000-0008-0000-0000-0000D1000000}"/>
              </a:ext>
            </a:extLst>
          </xdr:cNvPr>
          <xdr:cNvSpPr>
            <a:spLocks/>
          </xdr:cNvSpPr>
        </xdr:nvSpPr>
        <xdr:spPr bwMode="auto">
          <a:xfrm>
            <a:off x="1092200" y="1422400"/>
            <a:ext cx="107950" cy="382588"/>
          </a:xfrm>
          <a:custGeom>
            <a:avLst/>
            <a:gdLst>
              <a:gd name="T0" fmla="*/ 452 w 548"/>
              <a:gd name="T1" fmla="*/ 5 h 1922"/>
              <a:gd name="T2" fmla="*/ 490 w 548"/>
              <a:gd name="T3" fmla="*/ 29 h 1922"/>
              <a:gd name="T4" fmla="*/ 533 w 548"/>
              <a:gd name="T5" fmla="*/ 75 h 1922"/>
              <a:gd name="T6" fmla="*/ 547 w 548"/>
              <a:gd name="T7" fmla="*/ 112 h 1922"/>
              <a:gd name="T8" fmla="*/ 545 w 548"/>
              <a:gd name="T9" fmla="*/ 152 h 1922"/>
              <a:gd name="T10" fmla="*/ 525 w 548"/>
              <a:gd name="T11" fmla="*/ 187 h 1922"/>
              <a:gd name="T12" fmla="*/ 429 w 548"/>
              <a:gd name="T13" fmla="*/ 313 h 1922"/>
              <a:gd name="T14" fmla="*/ 350 w 548"/>
              <a:gd name="T15" fmla="*/ 448 h 1922"/>
              <a:gd name="T16" fmla="*/ 291 w 548"/>
              <a:gd name="T17" fmla="*/ 592 h 1922"/>
              <a:gd name="T18" fmla="*/ 253 w 548"/>
              <a:gd name="T19" fmla="*/ 737 h 1922"/>
              <a:gd name="T20" fmla="*/ 234 w 548"/>
              <a:gd name="T21" fmla="*/ 885 h 1922"/>
              <a:gd name="T22" fmla="*/ 234 w 548"/>
              <a:gd name="T23" fmla="*/ 1037 h 1922"/>
              <a:gd name="T24" fmla="*/ 253 w 548"/>
              <a:gd name="T25" fmla="*/ 1186 h 1922"/>
              <a:gd name="T26" fmla="*/ 291 w 548"/>
              <a:gd name="T27" fmla="*/ 1331 h 1922"/>
              <a:gd name="T28" fmla="*/ 349 w 548"/>
              <a:gd name="T29" fmla="*/ 1473 h 1922"/>
              <a:gd name="T30" fmla="*/ 426 w 548"/>
              <a:gd name="T31" fmla="*/ 1607 h 1922"/>
              <a:gd name="T32" fmla="*/ 521 w 548"/>
              <a:gd name="T33" fmla="*/ 1730 h 1922"/>
              <a:gd name="T34" fmla="*/ 524 w 548"/>
              <a:gd name="T35" fmla="*/ 1735 h 1922"/>
              <a:gd name="T36" fmla="*/ 544 w 548"/>
              <a:gd name="T37" fmla="*/ 1770 h 1922"/>
              <a:gd name="T38" fmla="*/ 547 w 548"/>
              <a:gd name="T39" fmla="*/ 1810 h 1922"/>
              <a:gd name="T40" fmla="*/ 533 w 548"/>
              <a:gd name="T41" fmla="*/ 1848 h 1922"/>
              <a:gd name="T42" fmla="*/ 490 w 548"/>
              <a:gd name="T43" fmla="*/ 1895 h 1922"/>
              <a:gd name="T44" fmla="*/ 452 w 548"/>
              <a:gd name="T45" fmla="*/ 1918 h 1922"/>
              <a:gd name="T46" fmla="*/ 410 w 548"/>
              <a:gd name="T47" fmla="*/ 1922 h 1922"/>
              <a:gd name="T48" fmla="*/ 369 w 548"/>
              <a:gd name="T49" fmla="*/ 1906 h 1922"/>
              <a:gd name="T50" fmla="*/ 301 w 548"/>
              <a:gd name="T51" fmla="*/ 1829 h 1922"/>
              <a:gd name="T52" fmla="*/ 211 w 548"/>
              <a:gd name="T53" fmla="*/ 1701 h 1922"/>
              <a:gd name="T54" fmla="*/ 134 w 548"/>
              <a:gd name="T55" fmla="*/ 1562 h 1922"/>
              <a:gd name="T56" fmla="*/ 71 w 548"/>
              <a:gd name="T57" fmla="*/ 1404 h 1922"/>
              <a:gd name="T58" fmla="*/ 25 w 548"/>
              <a:gd name="T59" fmla="*/ 1230 h 1922"/>
              <a:gd name="T60" fmla="*/ 2 w 548"/>
              <a:gd name="T61" fmla="*/ 1052 h 1922"/>
              <a:gd name="T62" fmla="*/ 2 w 548"/>
              <a:gd name="T63" fmla="*/ 871 h 1922"/>
              <a:gd name="T64" fmla="*/ 25 w 548"/>
              <a:gd name="T65" fmla="*/ 692 h 1922"/>
              <a:gd name="T66" fmla="*/ 71 w 548"/>
              <a:gd name="T67" fmla="*/ 518 h 1922"/>
              <a:gd name="T68" fmla="*/ 134 w 548"/>
              <a:gd name="T69" fmla="*/ 361 h 1922"/>
              <a:gd name="T70" fmla="*/ 211 w 548"/>
              <a:gd name="T71" fmla="*/ 222 h 1922"/>
              <a:gd name="T72" fmla="*/ 301 w 548"/>
              <a:gd name="T73" fmla="*/ 93 h 1922"/>
              <a:gd name="T74" fmla="*/ 369 w 548"/>
              <a:gd name="T75" fmla="*/ 17 h 1922"/>
              <a:gd name="T76" fmla="*/ 410 w 548"/>
              <a:gd name="T77" fmla="*/ 1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431" y="0"/>
                </a:moveTo>
                <a:lnTo>
                  <a:pt x="452" y="5"/>
                </a:lnTo>
                <a:lnTo>
                  <a:pt x="472" y="14"/>
                </a:lnTo>
                <a:lnTo>
                  <a:pt x="490" y="29"/>
                </a:lnTo>
                <a:lnTo>
                  <a:pt x="521" y="58"/>
                </a:lnTo>
                <a:lnTo>
                  <a:pt x="533" y="75"/>
                </a:lnTo>
                <a:lnTo>
                  <a:pt x="543" y="93"/>
                </a:lnTo>
                <a:lnTo>
                  <a:pt x="547" y="112"/>
                </a:lnTo>
                <a:lnTo>
                  <a:pt x="548" y="132"/>
                </a:lnTo>
                <a:lnTo>
                  <a:pt x="545" y="152"/>
                </a:lnTo>
                <a:lnTo>
                  <a:pt x="536" y="171"/>
                </a:lnTo>
                <a:lnTo>
                  <a:pt x="525" y="187"/>
                </a:lnTo>
                <a:lnTo>
                  <a:pt x="475" y="249"/>
                </a:lnTo>
                <a:lnTo>
                  <a:pt x="429" y="313"/>
                </a:lnTo>
                <a:lnTo>
                  <a:pt x="387" y="379"/>
                </a:lnTo>
                <a:lnTo>
                  <a:pt x="350" y="448"/>
                </a:lnTo>
                <a:lnTo>
                  <a:pt x="317" y="521"/>
                </a:lnTo>
                <a:lnTo>
                  <a:pt x="291" y="592"/>
                </a:lnTo>
                <a:lnTo>
                  <a:pt x="270" y="664"/>
                </a:lnTo>
                <a:lnTo>
                  <a:pt x="253" y="737"/>
                </a:lnTo>
                <a:lnTo>
                  <a:pt x="241" y="811"/>
                </a:lnTo>
                <a:lnTo>
                  <a:pt x="234" y="885"/>
                </a:lnTo>
                <a:lnTo>
                  <a:pt x="232" y="961"/>
                </a:lnTo>
                <a:lnTo>
                  <a:pt x="234" y="1037"/>
                </a:lnTo>
                <a:lnTo>
                  <a:pt x="241" y="1113"/>
                </a:lnTo>
                <a:lnTo>
                  <a:pt x="253" y="1186"/>
                </a:lnTo>
                <a:lnTo>
                  <a:pt x="270" y="1259"/>
                </a:lnTo>
                <a:lnTo>
                  <a:pt x="291" y="1331"/>
                </a:lnTo>
                <a:lnTo>
                  <a:pt x="317" y="1402"/>
                </a:lnTo>
                <a:lnTo>
                  <a:pt x="349" y="1473"/>
                </a:lnTo>
                <a:lnTo>
                  <a:pt x="386" y="1541"/>
                </a:lnTo>
                <a:lnTo>
                  <a:pt x="426" y="1607"/>
                </a:lnTo>
                <a:lnTo>
                  <a:pt x="471" y="1669"/>
                </a:lnTo>
                <a:lnTo>
                  <a:pt x="521" y="1730"/>
                </a:lnTo>
                <a:lnTo>
                  <a:pt x="522" y="1731"/>
                </a:lnTo>
                <a:lnTo>
                  <a:pt x="524" y="1735"/>
                </a:lnTo>
                <a:lnTo>
                  <a:pt x="536" y="1751"/>
                </a:lnTo>
                <a:lnTo>
                  <a:pt x="544" y="1770"/>
                </a:lnTo>
                <a:lnTo>
                  <a:pt x="548" y="1790"/>
                </a:lnTo>
                <a:lnTo>
                  <a:pt x="547" y="1810"/>
                </a:lnTo>
                <a:lnTo>
                  <a:pt x="543" y="1829"/>
                </a:lnTo>
                <a:lnTo>
                  <a:pt x="533" y="1848"/>
                </a:lnTo>
                <a:lnTo>
                  <a:pt x="521" y="1864"/>
                </a:lnTo>
                <a:lnTo>
                  <a:pt x="490" y="1895"/>
                </a:lnTo>
                <a:lnTo>
                  <a:pt x="472" y="1909"/>
                </a:lnTo>
                <a:lnTo>
                  <a:pt x="452" y="1918"/>
                </a:lnTo>
                <a:lnTo>
                  <a:pt x="431" y="1922"/>
                </a:lnTo>
                <a:lnTo>
                  <a:pt x="410" y="1922"/>
                </a:lnTo>
                <a:lnTo>
                  <a:pt x="389" y="1916"/>
                </a:lnTo>
                <a:lnTo>
                  <a:pt x="369" y="1906"/>
                </a:lnTo>
                <a:lnTo>
                  <a:pt x="352" y="1890"/>
                </a:lnTo>
                <a:lnTo>
                  <a:pt x="301" y="1829"/>
                </a:lnTo>
                <a:lnTo>
                  <a:pt x="254" y="1766"/>
                </a:lnTo>
                <a:lnTo>
                  <a:pt x="211" y="1701"/>
                </a:lnTo>
                <a:lnTo>
                  <a:pt x="171" y="1632"/>
                </a:lnTo>
                <a:lnTo>
                  <a:pt x="134" y="1562"/>
                </a:lnTo>
                <a:lnTo>
                  <a:pt x="102" y="1489"/>
                </a:lnTo>
                <a:lnTo>
                  <a:pt x="71" y="1404"/>
                </a:lnTo>
                <a:lnTo>
                  <a:pt x="45" y="1318"/>
                </a:lnTo>
                <a:lnTo>
                  <a:pt x="25" y="1230"/>
                </a:lnTo>
                <a:lnTo>
                  <a:pt x="12" y="1142"/>
                </a:lnTo>
                <a:lnTo>
                  <a:pt x="2" y="1052"/>
                </a:lnTo>
                <a:lnTo>
                  <a:pt x="0" y="961"/>
                </a:lnTo>
                <a:lnTo>
                  <a:pt x="2" y="871"/>
                </a:lnTo>
                <a:lnTo>
                  <a:pt x="12" y="781"/>
                </a:lnTo>
                <a:lnTo>
                  <a:pt x="25" y="692"/>
                </a:lnTo>
                <a:lnTo>
                  <a:pt x="45" y="604"/>
                </a:lnTo>
                <a:lnTo>
                  <a:pt x="71" y="518"/>
                </a:lnTo>
                <a:lnTo>
                  <a:pt x="102" y="434"/>
                </a:lnTo>
                <a:lnTo>
                  <a:pt x="134" y="361"/>
                </a:lnTo>
                <a:lnTo>
                  <a:pt x="171" y="291"/>
                </a:lnTo>
                <a:lnTo>
                  <a:pt x="211" y="222"/>
                </a:lnTo>
                <a:lnTo>
                  <a:pt x="254" y="156"/>
                </a:lnTo>
                <a:lnTo>
                  <a:pt x="301" y="93"/>
                </a:lnTo>
                <a:lnTo>
                  <a:pt x="352" y="32"/>
                </a:lnTo>
                <a:lnTo>
                  <a:pt x="369" y="17"/>
                </a:lnTo>
                <a:lnTo>
                  <a:pt x="389" y="6"/>
                </a:lnTo>
                <a:lnTo>
                  <a:pt x="410" y="1"/>
                </a:lnTo>
                <a:lnTo>
                  <a:pt x="43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0" name="Freeform 81">
            <a:extLst>
              <a:ext uri="{FF2B5EF4-FFF2-40B4-BE49-F238E27FC236}">
                <a16:creationId xmlns="" xmlns:a16="http://schemas.microsoft.com/office/drawing/2014/main" id="{00000000-0008-0000-0000-0000D2000000}"/>
              </a:ext>
            </a:extLst>
          </xdr:cNvPr>
          <xdr:cNvSpPr>
            <a:spLocks/>
          </xdr:cNvSpPr>
        </xdr:nvSpPr>
        <xdr:spPr bwMode="auto">
          <a:xfrm>
            <a:off x="1231900" y="1522413"/>
            <a:ext cx="68263" cy="182563"/>
          </a:xfrm>
          <a:custGeom>
            <a:avLst/>
            <a:gdLst>
              <a:gd name="T0" fmla="*/ 213 w 348"/>
              <a:gd name="T1" fmla="*/ 0 h 923"/>
              <a:gd name="T2" fmla="*/ 232 w 348"/>
              <a:gd name="T3" fmla="*/ 1 h 923"/>
              <a:gd name="T4" fmla="*/ 252 w 348"/>
              <a:gd name="T5" fmla="*/ 5 h 923"/>
              <a:gd name="T6" fmla="*/ 270 w 348"/>
              <a:gd name="T7" fmla="*/ 15 h 923"/>
              <a:gd name="T8" fmla="*/ 286 w 348"/>
              <a:gd name="T9" fmla="*/ 27 h 923"/>
              <a:gd name="T10" fmla="*/ 317 w 348"/>
              <a:gd name="T11" fmla="*/ 58 h 923"/>
              <a:gd name="T12" fmla="*/ 332 w 348"/>
              <a:gd name="T13" fmla="*/ 77 h 923"/>
              <a:gd name="T14" fmla="*/ 341 w 348"/>
              <a:gd name="T15" fmla="*/ 97 h 923"/>
              <a:gd name="T16" fmla="*/ 345 w 348"/>
              <a:gd name="T17" fmla="*/ 119 h 923"/>
              <a:gd name="T18" fmla="*/ 344 w 348"/>
              <a:gd name="T19" fmla="*/ 141 h 923"/>
              <a:gd name="T20" fmla="*/ 338 w 348"/>
              <a:gd name="T21" fmla="*/ 162 h 923"/>
              <a:gd name="T22" fmla="*/ 327 w 348"/>
              <a:gd name="T23" fmla="*/ 182 h 923"/>
              <a:gd name="T24" fmla="*/ 298 w 348"/>
              <a:gd name="T25" fmla="*/ 224 h 923"/>
              <a:gd name="T26" fmla="*/ 274 w 348"/>
              <a:gd name="T27" fmla="*/ 268 h 923"/>
              <a:gd name="T28" fmla="*/ 256 w 348"/>
              <a:gd name="T29" fmla="*/ 314 h 923"/>
              <a:gd name="T30" fmla="*/ 242 w 348"/>
              <a:gd name="T31" fmla="*/ 362 h 923"/>
              <a:gd name="T32" fmla="*/ 234 w 348"/>
              <a:gd name="T33" fmla="*/ 412 h 923"/>
              <a:gd name="T34" fmla="*/ 232 w 348"/>
              <a:gd name="T35" fmla="*/ 462 h 923"/>
              <a:gd name="T36" fmla="*/ 234 w 348"/>
              <a:gd name="T37" fmla="*/ 501 h 923"/>
              <a:gd name="T38" fmla="*/ 237 w 348"/>
              <a:gd name="T39" fmla="*/ 537 h 923"/>
              <a:gd name="T40" fmla="*/ 242 w 348"/>
              <a:gd name="T41" fmla="*/ 568 h 923"/>
              <a:gd name="T42" fmla="*/ 251 w 348"/>
              <a:gd name="T43" fmla="*/ 599 h 923"/>
              <a:gd name="T44" fmla="*/ 261 w 348"/>
              <a:gd name="T45" fmla="*/ 627 h 923"/>
              <a:gd name="T46" fmla="*/ 275 w 348"/>
              <a:gd name="T47" fmla="*/ 656 h 923"/>
              <a:gd name="T48" fmla="*/ 292 w 348"/>
              <a:gd name="T49" fmla="*/ 685 h 923"/>
              <a:gd name="T50" fmla="*/ 312 w 348"/>
              <a:gd name="T51" fmla="*/ 717 h 923"/>
              <a:gd name="T52" fmla="*/ 329 w 348"/>
              <a:gd name="T53" fmla="*/ 739 h 923"/>
              <a:gd name="T54" fmla="*/ 340 w 348"/>
              <a:gd name="T55" fmla="*/ 759 h 923"/>
              <a:gd name="T56" fmla="*/ 347 w 348"/>
              <a:gd name="T57" fmla="*/ 781 h 923"/>
              <a:gd name="T58" fmla="*/ 348 w 348"/>
              <a:gd name="T59" fmla="*/ 803 h 923"/>
              <a:gd name="T60" fmla="*/ 343 w 348"/>
              <a:gd name="T61" fmla="*/ 824 h 923"/>
              <a:gd name="T62" fmla="*/ 334 w 348"/>
              <a:gd name="T63" fmla="*/ 845 h 923"/>
              <a:gd name="T64" fmla="*/ 319 w 348"/>
              <a:gd name="T65" fmla="*/ 863 h 923"/>
              <a:gd name="T66" fmla="*/ 288 w 348"/>
              <a:gd name="T67" fmla="*/ 896 h 923"/>
              <a:gd name="T68" fmla="*/ 271 w 348"/>
              <a:gd name="T69" fmla="*/ 908 h 923"/>
              <a:gd name="T70" fmla="*/ 253 w 348"/>
              <a:gd name="T71" fmla="*/ 918 h 923"/>
              <a:gd name="T72" fmla="*/ 234 w 348"/>
              <a:gd name="T73" fmla="*/ 922 h 923"/>
              <a:gd name="T74" fmla="*/ 214 w 348"/>
              <a:gd name="T75" fmla="*/ 923 h 923"/>
              <a:gd name="T76" fmla="*/ 195 w 348"/>
              <a:gd name="T77" fmla="*/ 920 h 923"/>
              <a:gd name="T78" fmla="*/ 176 w 348"/>
              <a:gd name="T79" fmla="*/ 913 h 923"/>
              <a:gd name="T80" fmla="*/ 159 w 348"/>
              <a:gd name="T81" fmla="*/ 901 h 923"/>
              <a:gd name="T82" fmla="*/ 145 w 348"/>
              <a:gd name="T83" fmla="*/ 886 h 923"/>
              <a:gd name="T84" fmla="*/ 118 w 348"/>
              <a:gd name="T85" fmla="*/ 848 h 923"/>
              <a:gd name="T86" fmla="*/ 93 w 348"/>
              <a:gd name="T87" fmla="*/ 808 h 923"/>
              <a:gd name="T88" fmla="*/ 70 w 348"/>
              <a:gd name="T89" fmla="*/ 767 h 923"/>
              <a:gd name="T90" fmla="*/ 51 w 348"/>
              <a:gd name="T91" fmla="*/ 725 h 923"/>
              <a:gd name="T92" fmla="*/ 29 w 348"/>
              <a:gd name="T93" fmla="*/ 661 h 923"/>
              <a:gd name="T94" fmla="*/ 13 w 348"/>
              <a:gd name="T95" fmla="*/ 596 h 923"/>
              <a:gd name="T96" fmla="*/ 3 w 348"/>
              <a:gd name="T97" fmla="*/ 529 h 923"/>
              <a:gd name="T98" fmla="*/ 0 w 348"/>
              <a:gd name="T99" fmla="*/ 462 h 923"/>
              <a:gd name="T100" fmla="*/ 3 w 348"/>
              <a:gd name="T101" fmla="*/ 400 h 923"/>
              <a:gd name="T102" fmla="*/ 10 w 348"/>
              <a:gd name="T103" fmla="*/ 339 h 923"/>
              <a:gd name="T104" fmla="*/ 23 w 348"/>
              <a:gd name="T105" fmla="*/ 280 h 923"/>
              <a:gd name="T106" fmla="*/ 42 w 348"/>
              <a:gd name="T107" fmla="*/ 223 h 923"/>
              <a:gd name="T108" fmla="*/ 65 w 348"/>
              <a:gd name="T109" fmla="*/ 167 h 923"/>
              <a:gd name="T110" fmla="*/ 95 w 348"/>
              <a:gd name="T111" fmla="*/ 113 h 923"/>
              <a:gd name="T112" fmla="*/ 112 w 348"/>
              <a:gd name="T113" fmla="*/ 84 h 923"/>
              <a:gd name="T114" fmla="*/ 128 w 348"/>
              <a:gd name="T115" fmla="*/ 60 h 923"/>
              <a:gd name="T116" fmla="*/ 143 w 348"/>
              <a:gd name="T117" fmla="*/ 38 h 923"/>
              <a:gd name="T118" fmla="*/ 158 w 348"/>
              <a:gd name="T119" fmla="*/ 23 h 923"/>
              <a:gd name="T120" fmla="*/ 175 w 348"/>
              <a:gd name="T121" fmla="*/ 12 h 923"/>
              <a:gd name="T122" fmla="*/ 193 w 348"/>
              <a:gd name="T123" fmla="*/ 3 h 923"/>
              <a:gd name="T124" fmla="*/ 213 w 348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8" h="923">
                <a:moveTo>
                  <a:pt x="213" y="0"/>
                </a:moveTo>
                <a:lnTo>
                  <a:pt x="232" y="1"/>
                </a:lnTo>
                <a:lnTo>
                  <a:pt x="252" y="5"/>
                </a:lnTo>
                <a:lnTo>
                  <a:pt x="270" y="15"/>
                </a:lnTo>
                <a:lnTo>
                  <a:pt x="286" y="27"/>
                </a:lnTo>
                <a:lnTo>
                  <a:pt x="317" y="58"/>
                </a:lnTo>
                <a:lnTo>
                  <a:pt x="332" y="77"/>
                </a:lnTo>
                <a:lnTo>
                  <a:pt x="341" y="97"/>
                </a:lnTo>
                <a:lnTo>
                  <a:pt x="345" y="119"/>
                </a:lnTo>
                <a:lnTo>
                  <a:pt x="344" y="141"/>
                </a:lnTo>
                <a:lnTo>
                  <a:pt x="338" y="162"/>
                </a:lnTo>
                <a:lnTo>
                  <a:pt x="327" y="182"/>
                </a:lnTo>
                <a:lnTo>
                  <a:pt x="298" y="224"/>
                </a:lnTo>
                <a:lnTo>
                  <a:pt x="274" y="268"/>
                </a:lnTo>
                <a:lnTo>
                  <a:pt x="256" y="314"/>
                </a:lnTo>
                <a:lnTo>
                  <a:pt x="242" y="362"/>
                </a:lnTo>
                <a:lnTo>
                  <a:pt x="234" y="412"/>
                </a:lnTo>
                <a:lnTo>
                  <a:pt x="232" y="462"/>
                </a:lnTo>
                <a:lnTo>
                  <a:pt x="234" y="501"/>
                </a:lnTo>
                <a:lnTo>
                  <a:pt x="237" y="537"/>
                </a:lnTo>
                <a:lnTo>
                  <a:pt x="242" y="568"/>
                </a:lnTo>
                <a:lnTo>
                  <a:pt x="251" y="599"/>
                </a:lnTo>
                <a:lnTo>
                  <a:pt x="261" y="627"/>
                </a:lnTo>
                <a:lnTo>
                  <a:pt x="275" y="656"/>
                </a:lnTo>
                <a:lnTo>
                  <a:pt x="292" y="685"/>
                </a:lnTo>
                <a:lnTo>
                  <a:pt x="312" y="717"/>
                </a:lnTo>
                <a:lnTo>
                  <a:pt x="329" y="739"/>
                </a:lnTo>
                <a:lnTo>
                  <a:pt x="340" y="759"/>
                </a:lnTo>
                <a:lnTo>
                  <a:pt x="347" y="781"/>
                </a:lnTo>
                <a:lnTo>
                  <a:pt x="348" y="803"/>
                </a:lnTo>
                <a:lnTo>
                  <a:pt x="343" y="824"/>
                </a:lnTo>
                <a:lnTo>
                  <a:pt x="334" y="845"/>
                </a:lnTo>
                <a:lnTo>
                  <a:pt x="319" y="863"/>
                </a:lnTo>
                <a:lnTo>
                  <a:pt x="288" y="896"/>
                </a:lnTo>
                <a:lnTo>
                  <a:pt x="271" y="908"/>
                </a:lnTo>
                <a:lnTo>
                  <a:pt x="253" y="918"/>
                </a:lnTo>
                <a:lnTo>
                  <a:pt x="234" y="922"/>
                </a:lnTo>
                <a:lnTo>
                  <a:pt x="214" y="923"/>
                </a:lnTo>
                <a:lnTo>
                  <a:pt x="195" y="920"/>
                </a:lnTo>
                <a:lnTo>
                  <a:pt x="176" y="913"/>
                </a:lnTo>
                <a:lnTo>
                  <a:pt x="159" y="901"/>
                </a:lnTo>
                <a:lnTo>
                  <a:pt x="145" y="886"/>
                </a:lnTo>
                <a:lnTo>
                  <a:pt x="118" y="848"/>
                </a:lnTo>
                <a:lnTo>
                  <a:pt x="93" y="808"/>
                </a:lnTo>
                <a:lnTo>
                  <a:pt x="70" y="767"/>
                </a:lnTo>
                <a:lnTo>
                  <a:pt x="51" y="725"/>
                </a:lnTo>
                <a:lnTo>
                  <a:pt x="29" y="661"/>
                </a:lnTo>
                <a:lnTo>
                  <a:pt x="13" y="596"/>
                </a:lnTo>
                <a:lnTo>
                  <a:pt x="3" y="529"/>
                </a:lnTo>
                <a:lnTo>
                  <a:pt x="0" y="462"/>
                </a:lnTo>
                <a:lnTo>
                  <a:pt x="3" y="400"/>
                </a:lnTo>
                <a:lnTo>
                  <a:pt x="10" y="339"/>
                </a:lnTo>
                <a:lnTo>
                  <a:pt x="23" y="280"/>
                </a:lnTo>
                <a:lnTo>
                  <a:pt x="42" y="223"/>
                </a:lnTo>
                <a:lnTo>
                  <a:pt x="65" y="167"/>
                </a:lnTo>
                <a:lnTo>
                  <a:pt x="95" y="113"/>
                </a:lnTo>
                <a:lnTo>
                  <a:pt x="112" y="84"/>
                </a:lnTo>
                <a:lnTo>
                  <a:pt x="128" y="60"/>
                </a:lnTo>
                <a:lnTo>
                  <a:pt x="143" y="38"/>
                </a:lnTo>
                <a:lnTo>
                  <a:pt x="158" y="23"/>
                </a:lnTo>
                <a:lnTo>
                  <a:pt x="175" y="12"/>
                </a:lnTo>
                <a:lnTo>
                  <a:pt x="193" y="3"/>
                </a:lnTo>
                <a:lnTo>
                  <a:pt x="21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1" name="Freeform 82">
            <a:extLst>
              <a:ext uri="{FF2B5EF4-FFF2-40B4-BE49-F238E27FC236}">
                <a16:creationId xmlns="" xmlns:a16="http://schemas.microsoft.com/office/drawing/2014/main" id="{00000000-0008-0000-0000-0000D3000000}"/>
              </a:ext>
            </a:extLst>
          </xdr:cNvPr>
          <xdr:cNvSpPr>
            <a:spLocks/>
          </xdr:cNvSpPr>
        </xdr:nvSpPr>
        <xdr:spPr bwMode="auto">
          <a:xfrm>
            <a:off x="1557338" y="1471613"/>
            <a:ext cx="88900" cy="284163"/>
          </a:xfrm>
          <a:custGeom>
            <a:avLst/>
            <a:gdLst>
              <a:gd name="T0" fmla="*/ 141 w 448"/>
              <a:gd name="T1" fmla="*/ 1 h 1432"/>
              <a:gd name="T2" fmla="*/ 181 w 448"/>
              <a:gd name="T3" fmla="*/ 18 h 1432"/>
              <a:gd name="T4" fmla="*/ 239 w 448"/>
              <a:gd name="T5" fmla="*/ 87 h 1432"/>
              <a:gd name="T6" fmla="*/ 312 w 448"/>
              <a:gd name="T7" fmla="*/ 198 h 1432"/>
              <a:gd name="T8" fmla="*/ 371 w 448"/>
              <a:gd name="T9" fmla="*/ 318 h 1432"/>
              <a:gd name="T10" fmla="*/ 420 w 448"/>
              <a:gd name="T11" fmla="*/ 474 h 1432"/>
              <a:gd name="T12" fmla="*/ 445 w 448"/>
              <a:gd name="T13" fmla="*/ 634 h 1432"/>
              <a:gd name="T14" fmla="*/ 445 w 448"/>
              <a:gd name="T15" fmla="*/ 797 h 1432"/>
              <a:gd name="T16" fmla="*/ 420 w 448"/>
              <a:gd name="T17" fmla="*/ 958 h 1432"/>
              <a:gd name="T18" fmla="*/ 371 w 448"/>
              <a:gd name="T19" fmla="*/ 1113 h 1432"/>
              <a:gd name="T20" fmla="*/ 307 w 448"/>
              <a:gd name="T21" fmla="*/ 1242 h 1432"/>
              <a:gd name="T22" fmla="*/ 235 w 448"/>
              <a:gd name="T23" fmla="*/ 1353 h 1432"/>
              <a:gd name="T24" fmla="*/ 181 w 448"/>
              <a:gd name="T25" fmla="*/ 1415 h 1432"/>
              <a:gd name="T26" fmla="*/ 140 w 448"/>
              <a:gd name="T27" fmla="*/ 1431 h 1432"/>
              <a:gd name="T28" fmla="*/ 97 w 448"/>
              <a:gd name="T29" fmla="*/ 1428 h 1432"/>
              <a:gd name="T30" fmla="*/ 58 w 448"/>
              <a:gd name="T31" fmla="*/ 1404 h 1432"/>
              <a:gd name="T32" fmla="*/ 15 w 448"/>
              <a:gd name="T33" fmla="*/ 1357 h 1432"/>
              <a:gd name="T34" fmla="*/ 2 w 448"/>
              <a:gd name="T35" fmla="*/ 1320 h 1432"/>
              <a:gd name="T36" fmla="*/ 4 w 448"/>
              <a:gd name="T37" fmla="*/ 1281 h 1432"/>
              <a:gd name="T38" fmla="*/ 23 w 448"/>
              <a:gd name="T39" fmla="*/ 1245 h 1432"/>
              <a:gd name="T40" fmla="*/ 88 w 448"/>
              <a:gd name="T41" fmla="*/ 1159 h 1432"/>
              <a:gd name="T42" fmla="*/ 142 w 448"/>
              <a:gd name="T43" fmla="*/ 1058 h 1432"/>
              <a:gd name="T44" fmla="*/ 184 w 448"/>
              <a:gd name="T45" fmla="*/ 946 h 1432"/>
              <a:gd name="T46" fmla="*/ 208 w 448"/>
              <a:gd name="T47" fmla="*/ 830 h 1432"/>
              <a:gd name="T48" fmla="*/ 216 w 448"/>
              <a:gd name="T49" fmla="*/ 712 h 1432"/>
              <a:gd name="T50" fmla="*/ 207 w 448"/>
              <a:gd name="T51" fmla="*/ 593 h 1432"/>
              <a:gd name="T52" fmla="*/ 182 w 448"/>
              <a:gd name="T53" fmla="*/ 477 h 1432"/>
              <a:gd name="T54" fmla="*/ 139 w 448"/>
              <a:gd name="T55" fmla="*/ 365 h 1432"/>
              <a:gd name="T56" fmla="*/ 78 w 448"/>
              <a:gd name="T57" fmla="*/ 259 h 1432"/>
              <a:gd name="T58" fmla="*/ 38 w 448"/>
              <a:gd name="T59" fmla="*/ 204 h 1432"/>
              <a:gd name="T60" fmla="*/ 25 w 448"/>
              <a:gd name="T61" fmla="*/ 188 h 1432"/>
              <a:gd name="T62" fmla="*/ 5 w 448"/>
              <a:gd name="T63" fmla="*/ 152 h 1432"/>
              <a:gd name="T64" fmla="*/ 2 w 448"/>
              <a:gd name="T65" fmla="*/ 112 h 1432"/>
              <a:gd name="T66" fmla="*/ 15 w 448"/>
              <a:gd name="T67" fmla="*/ 75 h 1432"/>
              <a:gd name="T68" fmla="*/ 58 w 448"/>
              <a:gd name="T69" fmla="*/ 28 h 1432"/>
              <a:gd name="T70" fmla="*/ 96 w 448"/>
              <a:gd name="T71" fmla="*/ 5 h 1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8" h="1432">
                <a:moveTo>
                  <a:pt x="118" y="0"/>
                </a:moveTo>
                <a:lnTo>
                  <a:pt x="141" y="1"/>
                </a:lnTo>
                <a:lnTo>
                  <a:pt x="162" y="8"/>
                </a:lnTo>
                <a:lnTo>
                  <a:pt x="181" y="18"/>
                </a:lnTo>
                <a:lnTo>
                  <a:pt x="198" y="34"/>
                </a:lnTo>
                <a:lnTo>
                  <a:pt x="239" y="87"/>
                </a:lnTo>
                <a:lnTo>
                  <a:pt x="278" y="140"/>
                </a:lnTo>
                <a:lnTo>
                  <a:pt x="312" y="198"/>
                </a:lnTo>
                <a:lnTo>
                  <a:pt x="344" y="257"/>
                </a:lnTo>
                <a:lnTo>
                  <a:pt x="371" y="318"/>
                </a:lnTo>
                <a:lnTo>
                  <a:pt x="399" y="395"/>
                </a:lnTo>
                <a:lnTo>
                  <a:pt x="420" y="474"/>
                </a:lnTo>
                <a:lnTo>
                  <a:pt x="436" y="553"/>
                </a:lnTo>
                <a:lnTo>
                  <a:pt x="445" y="634"/>
                </a:lnTo>
                <a:lnTo>
                  <a:pt x="448" y="716"/>
                </a:lnTo>
                <a:lnTo>
                  <a:pt x="445" y="797"/>
                </a:lnTo>
                <a:lnTo>
                  <a:pt x="436" y="878"/>
                </a:lnTo>
                <a:lnTo>
                  <a:pt x="420" y="958"/>
                </a:lnTo>
                <a:lnTo>
                  <a:pt x="399" y="1036"/>
                </a:lnTo>
                <a:lnTo>
                  <a:pt x="371" y="1113"/>
                </a:lnTo>
                <a:lnTo>
                  <a:pt x="342" y="1179"/>
                </a:lnTo>
                <a:lnTo>
                  <a:pt x="307" y="1242"/>
                </a:lnTo>
                <a:lnTo>
                  <a:pt x="269" y="1304"/>
                </a:lnTo>
                <a:lnTo>
                  <a:pt x="235" y="1353"/>
                </a:lnTo>
                <a:lnTo>
                  <a:pt x="198" y="1399"/>
                </a:lnTo>
                <a:lnTo>
                  <a:pt x="181" y="1415"/>
                </a:lnTo>
                <a:lnTo>
                  <a:pt x="161" y="1425"/>
                </a:lnTo>
                <a:lnTo>
                  <a:pt x="140" y="1431"/>
                </a:lnTo>
                <a:lnTo>
                  <a:pt x="118" y="1432"/>
                </a:lnTo>
                <a:lnTo>
                  <a:pt x="97" y="1428"/>
                </a:lnTo>
                <a:lnTo>
                  <a:pt x="76" y="1418"/>
                </a:lnTo>
                <a:lnTo>
                  <a:pt x="58" y="1404"/>
                </a:lnTo>
                <a:lnTo>
                  <a:pt x="28" y="1374"/>
                </a:lnTo>
                <a:lnTo>
                  <a:pt x="15" y="1357"/>
                </a:lnTo>
                <a:lnTo>
                  <a:pt x="6" y="1339"/>
                </a:lnTo>
                <a:lnTo>
                  <a:pt x="2" y="1320"/>
                </a:lnTo>
                <a:lnTo>
                  <a:pt x="0" y="1301"/>
                </a:lnTo>
                <a:lnTo>
                  <a:pt x="4" y="1281"/>
                </a:lnTo>
                <a:lnTo>
                  <a:pt x="11" y="1262"/>
                </a:lnTo>
                <a:lnTo>
                  <a:pt x="23" y="1245"/>
                </a:lnTo>
                <a:lnTo>
                  <a:pt x="56" y="1203"/>
                </a:lnTo>
                <a:lnTo>
                  <a:pt x="88" y="1159"/>
                </a:lnTo>
                <a:lnTo>
                  <a:pt x="115" y="1112"/>
                </a:lnTo>
                <a:lnTo>
                  <a:pt x="142" y="1058"/>
                </a:lnTo>
                <a:lnTo>
                  <a:pt x="165" y="1002"/>
                </a:lnTo>
                <a:lnTo>
                  <a:pt x="184" y="946"/>
                </a:lnTo>
                <a:lnTo>
                  <a:pt x="199" y="888"/>
                </a:lnTo>
                <a:lnTo>
                  <a:pt x="208" y="830"/>
                </a:lnTo>
                <a:lnTo>
                  <a:pt x="214" y="771"/>
                </a:lnTo>
                <a:lnTo>
                  <a:pt x="216" y="712"/>
                </a:lnTo>
                <a:lnTo>
                  <a:pt x="213" y="652"/>
                </a:lnTo>
                <a:lnTo>
                  <a:pt x="207" y="593"/>
                </a:lnTo>
                <a:lnTo>
                  <a:pt x="196" y="535"/>
                </a:lnTo>
                <a:lnTo>
                  <a:pt x="182" y="477"/>
                </a:lnTo>
                <a:lnTo>
                  <a:pt x="162" y="421"/>
                </a:lnTo>
                <a:lnTo>
                  <a:pt x="139" y="365"/>
                </a:lnTo>
                <a:lnTo>
                  <a:pt x="110" y="311"/>
                </a:lnTo>
                <a:lnTo>
                  <a:pt x="78" y="259"/>
                </a:lnTo>
                <a:lnTo>
                  <a:pt x="43" y="210"/>
                </a:lnTo>
                <a:lnTo>
                  <a:pt x="38" y="204"/>
                </a:lnTo>
                <a:lnTo>
                  <a:pt x="32" y="196"/>
                </a:lnTo>
                <a:lnTo>
                  <a:pt x="25" y="188"/>
                </a:lnTo>
                <a:lnTo>
                  <a:pt x="12" y="171"/>
                </a:lnTo>
                <a:lnTo>
                  <a:pt x="5" y="152"/>
                </a:lnTo>
                <a:lnTo>
                  <a:pt x="0" y="132"/>
                </a:lnTo>
                <a:lnTo>
                  <a:pt x="2" y="112"/>
                </a:lnTo>
                <a:lnTo>
                  <a:pt x="6" y="93"/>
                </a:lnTo>
                <a:lnTo>
                  <a:pt x="15" y="75"/>
                </a:lnTo>
                <a:lnTo>
                  <a:pt x="28" y="58"/>
                </a:lnTo>
                <a:lnTo>
                  <a:pt x="58" y="28"/>
                </a:lnTo>
                <a:lnTo>
                  <a:pt x="76" y="14"/>
                </a:lnTo>
                <a:lnTo>
                  <a:pt x="96" y="5"/>
                </a:lnTo>
                <a:lnTo>
                  <a:pt x="11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2" name="Freeform 83">
            <a:extLst>
              <a:ext uri="{FF2B5EF4-FFF2-40B4-BE49-F238E27FC236}">
                <a16:creationId xmlns="" xmlns:a16="http://schemas.microsoft.com/office/drawing/2014/main" id="{00000000-0008-0000-0000-0000D4000000}"/>
              </a:ext>
            </a:extLst>
          </xdr:cNvPr>
          <xdr:cNvSpPr>
            <a:spLocks/>
          </xdr:cNvSpPr>
        </xdr:nvSpPr>
        <xdr:spPr bwMode="auto">
          <a:xfrm>
            <a:off x="1604963" y="1423988"/>
            <a:ext cx="109538" cy="381000"/>
          </a:xfrm>
          <a:custGeom>
            <a:avLst/>
            <a:gdLst>
              <a:gd name="T0" fmla="*/ 138 w 548"/>
              <a:gd name="T1" fmla="*/ 1 h 1922"/>
              <a:gd name="T2" fmla="*/ 178 w 548"/>
              <a:gd name="T3" fmla="*/ 17 h 1922"/>
              <a:gd name="T4" fmla="*/ 247 w 548"/>
              <a:gd name="T5" fmla="*/ 93 h 1922"/>
              <a:gd name="T6" fmla="*/ 337 w 548"/>
              <a:gd name="T7" fmla="*/ 222 h 1922"/>
              <a:gd name="T8" fmla="*/ 413 w 548"/>
              <a:gd name="T9" fmla="*/ 360 h 1922"/>
              <a:gd name="T10" fmla="*/ 476 w 548"/>
              <a:gd name="T11" fmla="*/ 518 h 1922"/>
              <a:gd name="T12" fmla="*/ 523 w 548"/>
              <a:gd name="T13" fmla="*/ 692 h 1922"/>
              <a:gd name="T14" fmla="*/ 545 w 548"/>
              <a:gd name="T15" fmla="*/ 871 h 1922"/>
              <a:gd name="T16" fmla="*/ 545 w 548"/>
              <a:gd name="T17" fmla="*/ 1052 h 1922"/>
              <a:gd name="T18" fmla="*/ 523 w 548"/>
              <a:gd name="T19" fmla="*/ 1229 h 1922"/>
              <a:gd name="T20" fmla="*/ 476 w 548"/>
              <a:gd name="T21" fmla="*/ 1403 h 1922"/>
              <a:gd name="T22" fmla="*/ 413 w 548"/>
              <a:gd name="T23" fmla="*/ 1561 h 1922"/>
              <a:gd name="T24" fmla="*/ 337 w 548"/>
              <a:gd name="T25" fmla="*/ 1700 h 1922"/>
              <a:gd name="T26" fmla="*/ 247 w 548"/>
              <a:gd name="T27" fmla="*/ 1829 h 1922"/>
              <a:gd name="T28" fmla="*/ 179 w 548"/>
              <a:gd name="T29" fmla="*/ 1905 h 1922"/>
              <a:gd name="T30" fmla="*/ 138 w 548"/>
              <a:gd name="T31" fmla="*/ 1921 h 1922"/>
              <a:gd name="T32" fmla="*/ 96 w 548"/>
              <a:gd name="T33" fmla="*/ 1918 h 1922"/>
              <a:gd name="T34" fmla="*/ 58 w 548"/>
              <a:gd name="T35" fmla="*/ 1895 h 1922"/>
              <a:gd name="T36" fmla="*/ 15 w 548"/>
              <a:gd name="T37" fmla="*/ 1847 h 1922"/>
              <a:gd name="T38" fmla="*/ 1 w 548"/>
              <a:gd name="T39" fmla="*/ 1809 h 1922"/>
              <a:gd name="T40" fmla="*/ 4 w 548"/>
              <a:gd name="T41" fmla="*/ 1770 h 1922"/>
              <a:gd name="T42" fmla="*/ 24 w 548"/>
              <a:gd name="T43" fmla="*/ 1735 h 1922"/>
              <a:gd name="T44" fmla="*/ 27 w 548"/>
              <a:gd name="T45" fmla="*/ 1729 h 1922"/>
              <a:gd name="T46" fmla="*/ 121 w 548"/>
              <a:gd name="T47" fmla="*/ 1607 h 1922"/>
              <a:gd name="T48" fmla="*/ 199 w 548"/>
              <a:gd name="T49" fmla="*/ 1473 h 1922"/>
              <a:gd name="T50" fmla="*/ 256 w 548"/>
              <a:gd name="T51" fmla="*/ 1330 h 1922"/>
              <a:gd name="T52" fmla="*/ 295 w 548"/>
              <a:gd name="T53" fmla="*/ 1185 h 1922"/>
              <a:gd name="T54" fmla="*/ 314 w 548"/>
              <a:gd name="T55" fmla="*/ 1037 h 1922"/>
              <a:gd name="T56" fmla="*/ 314 w 548"/>
              <a:gd name="T57" fmla="*/ 885 h 1922"/>
              <a:gd name="T58" fmla="*/ 295 w 548"/>
              <a:gd name="T59" fmla="*/ 737 h 1922"/>
              <a:gd name="T60" fmla="*/ 256 w 548"/>
              <a:gd name="T61" fmla="*/ 592 h 1922"/>
              <a:gd name="T62" fmla="*/ 198 w 548"/>
              <a:gd name="T63" fmla="*/ 449 h 1922"/>
              <a:gd name="T64" fmla="*/ 119 w 548"/>
              <a:gd name="T65" fmla="*/ 312 h 1922"/>
              <a:gd name="T66" fmla="*/ 23 w 548"/>
              <a:gd name="T67" fmla="*/ 186 h 1922"/>
              <a:gd name="T68" fmla="*/ 3 w 548"/>
              <a:gd name="T69" fmla="*/ 151 h 1922"/>
              <a:gd name="T70" fmla="*/ 0 w 548"/>
              <a:gd name="T71" fmla="*/ 112 h 1922"/>
              <a:gd name="T72" fmla="*/ 14 w 548"/>
              <a:gd name="T73" fmla="*/ 74 h 1922"/>
              <a:gd name="T74" fmla="*/ 58 w 548"/>
              <a:gd name="T75" fmla="*/ 28 h 1922"/>
              <a:gd name="T76" fmla="*/ 96 w 548"/>
              <a:gd name="T77" fmla="*/ 4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117" y="0"/>
                </a:moveTo>
                <a:lnTo>
                  <a:pt x="138" y="1"/>
                </a:lnTo>
                <a:lnTo>
                  <a:pt x="159" y="7"/>
                </a:lnTo>
                <a:lnTo>
                  <a:pt x="178" y="17"/>
                </a:lnTo>
                <a:lnTo>
                  <a:pt x="195" y="32"/>
                </a:lnTo>
                <a:lnTo>
                  <a:pt x="247" y="93"/>
                </a:lnTo>
                <a:lnTo>
                  <a:pt x="294" y="156"/>
                </a:lnTo>
                <a:lnTo>
                  <a:pt x="337" y="222"/>
                </a:lnTo>
                <a:lnTo>
                  <a:pt x="377" y="290"/>
                </a:lnTo>
                <a:lnTo>
                  <a:pt x="413" y="360"/>
                </a:lnTo>
                <a:lnTo>
                  <a:pt x="446" y="434"/>
                </a:lnTo>
                <a:lnTo>
                  <a:pt x="476" y="518"/>
                </a:lnTo>
                <a:lnTo>
                  <a:pt x="503" y="604"/>
                </a:lnTo>
                <a:lnTo>
                  <a:pt x="523" y="692"/>
                </a:lnTo>
                <a:lnTo>
                  <a:pt x="536" y="780"/>
                </a:lnTo>
                <a:lnTo>
                  <a:pt x="545" y="871"/>
                </a:lnTo>
                <a:lnTo>
                  <a:pt x="548" y="961"/>
                </a:lnTo>
                <a:lnTo>
                  <a:pt x="545" y="1052"/>
                </a:lnTo>
                <a:lnTo>
                  <a:pt x="536" y="1141"/>
                </a:lnTo>
                <a:lnTo>
                  <a:pt x="523" y="1229"/>
                </a:lnTo>
                <a:lnTo>
                  <a:pt x="503" y="1317"/>
                </a:lnTo>
                <a:lnTo>
                  <a:pt x="476" y="1403"/>
                </a:lnTo>
                <a:lnTo>
                  <a:pt x="446" y="1488"/>
                </a:lnTo>
                <a:lnTo>
                  <a:pt x="413" y="1561"/>
                </a:lnTo>
                <a:lnTo>
                  <a:pt x="377" y="1631"/>
                </a:lnTo>
                <a:lnTo>
                  <a:pt x="337" y="1700"/>
                </a:lnTo>
                <a:lnTo>
                  <a:pt x="294" y="1765"/>
                </a:lnTo>
                <a:lnTo>
                  <a:pt x="247" y="1829"/>
                </a:lnTo>
                <a:lnTo>
                  <a:pt x="196" y="1890"/>
                </a:lnTo>
                <a:lnTo>
                  <a:pt x="179" y="1905"/>
                </a:lnTo>
                <a:lnTo>
                  <a:pt x="159" y="1916"/>
                </a:lnTo>
                <a:lnTo>
                  <a:pt x="138" y="1921"/>
                </a:lnTo>
                <a:lnTo>
                  <a:pt x="117" y="1922"/>
                </a:lnTo>
                <a:lnTo>
                  <a:pt x="96" y="1918"/>
                </a:lnTo>
                <a:lnTo>
                  <a:pt x="76" y="1908"/>
                </a:lnTo>
                <a:lnTo>
                  <a:pt x="58" y="1895"/>
                </a:lnTo>
                <a:lnTo>
                  <a:pt x="27" y="1864"/>
                </a:lnTo>
                <a:lnTo>
                  <a:pt x="15" y="1847"/>
                </a:lnTo>
                <a:lnTo>
                  <a:pt x="5" y="1829"/>
                </a:lnTo>
                <a:lnTo>
                  <a:pt x="1" y="1809"/>
                </a:lnTo>
                <a:lnTo>
                  <a:pt x="0" y="1790"/>
                </a:lnTo>
                <a:lnTo>
                  <a:pt x="4" y="1770"/>
                </a:lnTo>
                <a:lnTo>
                  <a:pt x="12" y="1751"/>
                </a:lnTo>
                <a:lnTo>
                  <a:pt x="24" y="1735"/>
                </a:lnTo>
                <a:lnTo>
                  <a:pt x="25" y="1731"/>
                </a:lnTo>
                <a:lnTo>
                  <a:pt x="27" y="1729"/>
                </a:lnTo>
                <a:lnTo>
                  <a:pt x="77" y="1669"/>
                </a:lnTo>
                <a:lnTo>
                  <a:pt x="121" y="1607"/>
                </a:lnTo>
                <a:lnTo>
                  <a:pt x="162" y="1541"/>
                </a:lnTo>
                <a:lnTo>
                  <a:pt x="199" y="1473"/>
                </a:lnTo>
                <a:lnTo>
                  <a:pt x="231" y="1402"/>
                </a:lnTo>
                <a:lnTo>
                  <a:pt x="256" y="1330"/>
                </a:lnTo>
                <a:lnTo>
                  <a:pt x="278" y="1259"/>
                </a:lnTo>
                <a:lnTo>
                  <a:pt x="295" y="1185"/>
                </a:lnTo>
                <a:lnTo>
                  <a:pt x="307" y="1112"/>
                </a:lnTo>
                <a:lnTo>
                  <a:pt x="314" y="1037"/>
                </a:lnTo>
                <a:lnTo>
                  <a:pt x="316" y="961"/>
                </a:lnTo>
                <a:lnTo>
                  <a:pt x="314" y="885"/>
                </a:lnTo>
                <a:lnTo>
                  <a:pt x="307" y="811"/>
                </a:lnTo>
                <a:lnTo>
                  <a:pt x="295" y="737"/>
                </a:lnTo>
                <a:lnTo>
                  <a:pt x="278" y="663"/>
                </a:lnTo>
                <a:lnTo>
                  <a:pt x="256" y="592"/>
                </a:lnTo>
                <a:lnTo>
                  <a:pt x="231" y="521"/>
                </a:lnTo>
                <a:lnTo>
                  <a:pt x="198" y="449"/>
                </a:lnTo>
                <a:lnTo>
                  <a:pt x="161" y="379"/>
                </a:lnTo>
                <a:lnTo>
                  <a:pt x="119" y="312"/>
                </a:lnTo>
                <a:lnTo>
                  <a:pt x="73" y="248"/>
                </a:lnTo>
                <a:lnTo>
                  <a:pt x="23" y="186"/>
                </a:lnTo>
                <a:lnTo>
                  <a:pt x="11" y="170"/>
                </a:lnTo>
                <a:lnTo>
                  <a:pt x="3" y="151"/>
                </a:lnTo>
                <a:lnTo>
                  <a:pt x="0" y="132"/>
                </a:lnTo>
                <a:lnTo>
                  <a:pt x="0" y="112"/>
                </a:lnTo>
                <a:lnTo>
                  <a:pt x="5" y="93"/>
                </a:lnTo>
                <a:lnTo>
                  <a:pt x="14" y="74"/>
                </a:lnTo>
                <a:lnTo>
                  <a:pt x="27" y="58"/>
                </a:lnTo>
                <a:lnTo>
                  <a:pt x="58" y="28"/>
                </a:lnTo>
                <a:lnTo>
                  <a:pt x="76" y="14"/>
                </a:lnTo>
                <a:lnTo>
                  <a:pt x="96" y="4"/>
                </a:lnTo>
                <a:lnTo>
                  <a:pt x="11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3" name="Freeform 84">
            <a:extLst>
              <a:ext uri="{FF2B5EF4-FFF2-40B4-BE49-F238E27FC236}">
                <a16:creationId xmlns="" xmlns:a16="http://schemas.microsoft.com/office/drawing/2014/main" id="{00000000-0008-0000-0000-0000D5000000}"/>
              </a:ext>
            </a:extLst>
          </xdr:cNvPr>
          <xdr:cNvSpPr>
            <a:spLocks/>
          </xdr:cNvSpPr>
        </xdr:nvSpPr>
        <xdr:spPr bwMode="auto">
          <a:xfrm>
            <a:off x="1506538" y="1522413"/>
            <a:ext cx="68263" cy="182563"/>
          </a:xfrm>
          <a:custGeom>
            <a:avLst/>
            <a:gdLst>
              <a:gd name="T0" fmla="*/ 135 w 347"/>
              <a:gd name="T1" fmla="*/ 0 h 923"/>
              <a:gd name="T2" fmla="*/ 154 w 347"/>
              <a:gd name="T3" fmla="*/ 3 h 923"/>
              <a:gd name="T4" fmla="*/ 173 w 347"/>
              <a:gd name="T5" fmla="*/ 11 h 923"/>
              <a:gd name="T6" fmla="*/ 189 w 347"/>
              <a:gd name="T7" fmla="*/ 22 h 923"/>
              <a:gd name="T8" fmla="*/ 204 w 347"/>
              <a:gd name="T9" fmla="*/ 38 h 923"/>
              <a:gd name="T10" fmla="*/ 219 w 347"/>
              <a:gd name="T11" fmla="*/ 60 h 923"/>
              <a:gd name="T12" fmla="*/ 235 w 347"/>
              <a:gd name="T13" fmla="*/ 84 h 923"/>
              <a:gd name="T14" fmla="*/ 252 w 347"/>
              <a:gd name="T15" fmla="*/ 112 h 923"/>
              <a:gd name="T16" fmla="*/ 282 w 347"/>
              <a:gd name="T17" fmla="*/ 167 h 923"/>
              <a:gd name="T18" fmla="*/ 305 w 347"/>
              <a:gd name="T19" fmla="*/ 223 h 923"/>
              <a:gd name="T20" fmla="*/ 324 w 347"/>
              <a:gd name="T21" fmla="*/ 280 h 923"/>
              <a:gd name="T22" fmla="*/ 337 w 347"/>
              <a:gd name="T23" fmla="*/ 339 h 923"/>
              <a:gd name="T24" fmla="*/ 344 w 347"/>
              <a:gd name="T25" fmla="*/ 400 h 923"/>
              <a:gd name="T26" fmla="*/ 347 w 347"/>
              <a:gd name="T27" fmla="*/ 462 h 923"/>
              <a:gd name="T28" fmla="*/ 344 w 347"/>
              <a:gd name="T29" fmla="*/ 529 h 923"/>
              <a:gd name="T30" fmla="*/ 334 w 347"/>
              <a:gd name="T31" fmla="*/ 596 h 923"/>
              <a:gd name="T32" fmla="*/ 318 w 347"/>
              <a:gd name="T33" fmla="*/ 661 h 923"/>
              <a:gd name="T34" fmla="*/ 295 w 347"/>
              <a:gd name="T35" fmla="*/ 724 h 923"/>
              <a:gd name="T36" fmla="*/ 276 w 347"/>
              <a:gd name="T37" fmla="*/ 767 h 923"/>
              <a:gd name="T38" fmla="*/ 254 w 347"/>
              <a:gd name="T39" fmla="*/ 808 h 923"/>
              <a:gd name="T40" fmla="*/ 229 w 347"/>
              <a:gd name="T41" fmla="*/ 848 h 923"/>
              <a:gd name="T42" fmla="*/ 203 w 347"/>
              <a:gd name="T43" fmla="*/ 886 h 923"/>
              <a:gd name="T44" fmla="*/ 188 w 347"/>
              <a:gd name="T45" fmla="*/ 901 h 923"/>
              <a:gd name="T46" fmla="*/ 171 w 347"/>
              <a:gd name="T47" fmla="*/ 913 h 923"/>
              <a:gd name="T48" fmla="*/ 152 w 347"/>
              <a:gd name="T49" fmla="*/ 920 h 923"/>
              <a:gd name="T50" fmla="*/ 133 w 347"/>
              <a:gd name="T51" fmla="*/ 923 h 923"/>
              <a:gd name="T52" fmla="*/ 113 w 347"/>
              <a:gd name="T53" fmla="*/ 922 h 923"/>
              <a:gd name="T54" fmla="*/ 94 w 347"/>
              <a:gd name="T55" fmla="*/ 918 h 923"/>
              <a:gd name="T56" fmla="*/ 76 w 347"/>
              <a:gd name="T57" fmla="*/ 908 h 923"/>
              <a:gd name="T58" fmla="*/ 59 w 347"/>
              <a:gd name="T59" fmla="*/ 896 h 923"/>
              <a:gd name="T60" fmla="*/ 28 w 347"/>
              <a:gd name="T61" fmla="*/ 862 h 923"/>
              <a:gd name="T62" fmla="*/ 13 w 347"/>
              <a:gd name="T63" fmla="*/ 844 h 923"/>
              <a:gd name="T64" fmla="*/ 4 w 347"/>
              <a:gd name="T65" fmla="*/ 824 h 923"/>
              <a:gd name="T66" fmla="*/ 0 w 347"/>
              <a:gd name="T67" fmla="*/ 802 h 923"/>
              <a:gd name="T68" fmla="*/ 0 w 347"/>
              <a:gd name="T69" fmla="*/ 780 h 923"/>
              <a:gd name="T70" fmla="*/ 7 w 347"/>
              <a:gd name="T71" fmla="*/ 759 h 923"/>
              <a:gd name="T72" fmla="*/ 18 w 347"/>
              <a:gd name="T73" fmla="*/ 739 h 923"/>
              <a:gd name="T74" fmla="*/ 35 w 347"/>
              <a:gd name="T75" fmla="*/ 717 h 923"/>
              <a:gd name="T76" fmla="*/ 55 w 347"/>
              <a:gd name="T77" fmla="*/ 685 h 923"/>
              <a:gd name="T78" fmla="*/ 73 w 347"/>
              <a:gd name="T79" fmla="*/ 656 h 923"/>
              <a:gd name="T80" fmla="*/ 86 w 347"/>
              <a:gd name="T81" fmla="*/ 627 h 923"/>
              <a:gd name="T82" fmla="*/ 96 w 347"/>
              <a:gd name="T83" fmla="*/ 598 h 923"/>
              <a:gd name="T84" fmla="*/ 105 w 347"/>
              <a:gd name="T85" fmla="*/ 568 h 923"/>
              <a:gd name="T86" fmla="*/ 110 w 347"/>
              <a:gd name="T87" fmla="*/ 536 h 923"/>
              <a:gd name="T88" fmla="*/ 113 w 347"/>
              <a:gd name="T89" fmla="*/ 501 h 923"/>
              <a:gd name="T90" fmla="*/ 115 w 347"/>
              <a:gd name="T91" fmla="*/ 461 h 923"/>
              <a:gd name="T92" fmla="*/ 113 w 347"/>
              <a:gd name="T93" fmla="*/ 411 h 923"/>
              <a:gd name="T94" fmla="*/ 106 w 347"/>
              <a:gd name="T95" fmla="*/ 361 h 923"/>
              <a:gd name="T96" fmla="*/ 92 w 347"/>
              <a:gd name="T97" fmla="*/ 314 h 923"/>
              <a:gd name="T98" fmla="*/ 73 w 347"/>
              <a:gd name="T99" fmla="*/ 267 h 923"/>
              <a:gd name="T100" fmla="*/ 49 w 347"/>
              <a:gd name="T101" fmla="*/ 223 h 923"/>
              <a:gd name="T102" fmla="*/ 20 w 347"/>
              <a:gd name="T103" fmla="*/ 182 h 923"/>
              <a:gd name="T104" fmla="*/ 10 w 347"/>
              <a:gd name="T105" fmla="*/ 162 h 923"/>
              <a:gd name="T106" fmla="*/ 4 w 347"/>
              <a:gd name="T107" fmla="*/ 140 h 923"/>
              <a:gd name="T108" fmla="*/ 3 w 347"/>
              <a:gd name="T109" fmla="*/ 118 h 923"/>
              <a:gd name="T110" fmla="*/ 7 w 347"/>
              <a:gd name="T111" fmla="*/ 97 h 923"/>
              <a:gd name="T112" fmla="*/ 15 w 347"/>
              <a:gd name="T113" fmla="*/ 76 h 923"/>
              <a:gd name="T114" fmla="*/ 30 w 347"/>
              <a:gd name="T115" fmla="*/ 58 h 923"/>
              <a:gd name="T116" fmla="*/ 60 w 347"/>
              <a:gd name="T117" fmla="*/ 27 h 923"/>
              <a:gd name="T118" fmla="*/ 77 w 347"/>
              <a:gd name="T119" fmla="*/ 14 h 923"/>
              <a:gd name="T120" fmla="*/ 95 w 347"/>
              <a:gd name="T121" fmla="*/ 5 h 923"/>
              <a:gd name="T122" fmla="*/ 115 w 347"/>
              <a:gd name="T123" fmla="*/ 0 h 923"/>
              <a:gd name="T124" fmla="*/ 135 w 347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7" h="923">
                <a:moveTo>
                  <a:pt x="135" y="0"/>
                </a:moveTo>
                <a:lnTo>
                  <a:pt x="154" y="3"/>
                </a:lnTo>
                <a:lnTo>
                  <a:pt x="173" y="11"/>
                </a:lnTo>
                <a:lnTo>
                  <a:pt x="189" y="22"/>
                </a:lnTo>
                <a:lnTo>
                  <a:pt x="204" y="38"/>
                </a:lnTo>
                <a:lnTo>
                  <a:pt x="219" y="60"/>
                </a:lnTo>
                <a:lnTo>
                  <a:pt x="235" y="84"/>
                </a:lnTo>
                <a:lnTo>
                  <a:pt x="252" y="112"/>
                </a:lnTo>
                <a:lnTo>
                  <a:pt x="282" y="167"/>
                </a:lnTo>
                <a:lnTo>
                  <a:pt x="305" y="223"/>
                </a:lnTo>
                <a:lnTo>
                  <a:pt x="324" y="280"/>
                </a:lnTo>
                <a:lnTo>
                  <a:pt x="337" y="339"/>
                </a:lnTo>
                <a:lnTo>
                  <a:pt x="344" y="400"/>
                </a:lnTo>
                <a:lnTo>
                  <a:pt x="347" y="462"/>
                </a:lnTo>
                <a:lnTo>
                  <a:pt x="344" y="529"/>
                </a:lnTo>
                <a:lnTo>
                  <a:pt x="334" y="596"/>
                </a:lnTo>
                <a:lnTo>
                  <a:pt x="318" y="661"/>
                </a:lnTo>
                <a:lnTo>
                  <a:pt x="295" y="724"/>
                </a:lnTo>
                <a:lnTo>
                  <a:pt x="276" y="767"/>
                </a:lnTo>
                <a:lnTo>
                  <a:pt x="254" y="808"/>
                </a:lnTo>
                <a:lnTo>
                  <a:pt x="229" y="848"/>
                </a:lnTo>
                <a:lnTo>
                  <a:pt x="203" y="886"/>
                </a:lnTo>
                <a:lnTo>
                  <a:pt x="188" y="901"/>
                </a:lnTo>
                <a:lnTo>
                  <a:pt x="171" y="913"/>
                </a:lnTo>
                <a:lnTo>
                  <a:pt x="152" y="920"/>
                </a:lnTo>
                <a:lnTo>
                  <a:pt x="133" y="923"/>
                </a:lnTo>
                <a:lnTo>
                  <a:pt x="113" y="922"/>
                </a:lnTo>
                <a:lnTo>
                  <a:pt x="94" y="918"/>
                </a:lnTo>
                <a:lnTo>
                  <a:pt x="76" y="908"/>
                </a:lnTo>
                <a:lnTo>
                  <a:pt x="59" y="896"/>
                </a:lnTo>
                <a:lnTo>
                  <a:pt x="28" y="862"/>
                </a:lnTo>
                <a:lnTo>
                  <a:pt x="13" y="844"/>
                </a:lnTo>
                <a:lnTo>
                  <a:pt x="4" y="824"/>
                </a:lnTo>
                <a:lnTo>
                  <a:pt x="0" y="802"/>
                </a:lnTo>
                <a:lnTo>
                  <a:pt x="0" y="780"/>
                </a:lnTo>
                <a:lnTo>
                  <a:pt x="7" y="759"/>
                </a:lnTo>
                <a:lnTo>
                  <a:pt x="18" y="739"/>
                </a:lnTo>
                <a:lnTo>
                  <a:pt x="35" y="717"/>
                </a:lnTo>
                <a:lnTo>
                  <a:pt x="55" y="685"/>
                </a:lnTo>
                <a:lnTo>
                  <a:pt x="73" y="656"/>
                </a:lnTo>
                <a:lnTo>
                  <a:pt x="86" y="627"/>
                </a:lnTo>
                <a:lnTo>
                  <a:pt x="96" y="598"/>
                </a:lnTo>
                <a:lnTo>
                  <a:pt x="105" y="568"/>
                </a:lnTo>
                <a:lnTo>
                  <a:pt x="110" y="536"/>
                </a:lnTo>
                <a:lnTo>
                  <a:pt x="113" y="501"/>
                </a:lnTo>
                <a:lnTo>
                  <a:pt x="115" y="461"/>
                </a:lnTo>
                <a:lnTo>
                  <a:pt x="113" y="411"/>
                </a:lnTo>
                <a:lnTo>
                  <a:pt x="106" y="361"/>
                </a:lnTo>
                <a:lnTo>
                  <a:pt x="92" y="314"/>
                </a:lnTo>
                <a:lnTo>
                  <a:pt x="73" y="267"/>
                </a:lnTo>
                <a:lnTo>
                  <a:pt x="49" y="223"/>
                </a:lnTo>
                <a:lnTo>
                  <a:pt x="20" y="182"/>
                </a:lnTo>
                <a:lnTo>
                  <a:pt x="10" y="162"/>
                </a:lnTo>
                <a:lnTo>
                  <a:pt x="4" y="140"/>
                </a:lnTo>
                <a:lnTo>
                  <a:pt x="3" y="118"/>
                </a:lnTo>
                <a:lnTo>
                  <a:pt x="7" y="97"/>
                </a:lnTo>
                <a:lnTo>
                  <a:pt x="15" y="76"/>
                </a:lnTo>
                <a:lnTo>
                  <a:pt x="30" y="58"/>
                </a:lnTo>
                <a:lnTo>
                  <a:pt x="60" y="27"/>
                </a:lnTo>
                <a:lnTo>
                  <a:pt x="77" y="14"/>
                </a:lnTo>
                <a:lnTo>
                  <a:pt x="95" y="5"/>
                </a:lnTo>
                <a:lnTo>
                  <a:pt x="115" y="0"/>
                </a:lnTo>
                <a:lnTo>
                  <a:pt x="13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4" name="Freeform 85">
            <a:extLst>
              <a:ext uri="{FF2B5EF4-FFF2-40B4-BE49-F238E27FC236}">
                <a16:creationId xmlns="" xmlns:a16="http://schemas.microsoft.com/office/drawing/2014/main" id="{00000000-0008-0000-0000-0000D6000000}"/>
              </a:ext>
            </a:extLst>
          </xdr:cNvPr>
          <xdr:cNvSpPr>
            <a:spLocks noEditPoints="1"/>
          </xdr:cNvSpPr>
        </xdr:nvSpPr>
        <xdr:spPr bwMode="auto">
          <a:xfrm>
            <a:off x="1228725" y="1544638"/>
            <a:ext cx="347663" cy="565150"/>
          </a:xfrm>
          <a:custGeom>
            <a:avLst/>
            <a:gdLst>
              <a:gd name="T0" fmla="*/ 406 w 1757"/>
              <a:gd name="T1" fmla="*/ 2241 h 2851"/>
              <a:gd name="T2" fmla="*/ 1272 w 1757"/>
              <a:gd name="T3" fmla="*/ 1995 h 2851"/>
              <a:gd name="T4" fmla="*/ 641 w 1757"/>
              <a:gd name="T5" fmla="*/ 1501 h 2851"/>
              <a:gd name="T6" fmla="*/ 1194 w 1757"/>
              <a:gd name="T7" fmla="*/ 1750 h 2851"/>
              <a:gd name="T8" fmla="*/ 641 w 1757"/>
              <a:gd name="T9" fmla="*/ 1501 h 2851"/>
              <a:gd name="T10" fmla="*/ 720 w 1757"/>
              <a:gd name="T11" fmla="*/ 1254 h 2851"/>
              <a:gd name="T12" fmla="*/ 878 w 1757"/>
              <a:gd name="T13" fmla="*/ 753 h 2851"/>
              <a:gd name="T14" fmla="*/ 926 w 1757"/>
              <a:gd name="T15" fmla="*/ 3 h 2851"/>
              <a:gd name="T16" fmla="*/ 1016 w 1757"/>
              <a:gd name="T17" fmla="*/ 27 h 2851"/>
              <a:gd name="T18" fmla="*/ 1093 w 1757"/>
              <a:gd name="T19" fmla="*/ 72 h 2851"/>
              <a:gd name="T20" fmla="*/ 1156 w 1757"/>
              <a:gd name="T21" fmla="*/ 134 h 2851"/>
              <a:gd name="T22" fmla="*/ 1201 w 1757"/>
              <a:gd name="T23" fmla="*/ 212 h 2851"/>
              <a:gd name="T24" fmla="*/ 1225 w 1757"/>
              <a:gd name="T25" fmla="*/ 301 h 2851"/>
              <a:gd name="T26" fmla="*/ 1225 w 1757"/>
              <a:gd name="T27" fmla="*/ 394 h 2851"/>
              <a:gd name="T28" fmla="*/ 1201 w 1757"/>
              <a:gd name="T29" fmla="*/ 483 h 2851"/>
              <a:gd name="T30" fmla="*/ 1157 w 1757"/>
              <a:gd name="T31" fmla="*/ 560 h 2851"/>
              <a:gd name="T32" fmla="*/ 1095 w 1757"/>
              <a:gd name="T33" fmla="*/ 622 h 2851"/>
              <a:gd name="T34" fmla="*/ 1757 w 1757"/>
              <a:gd name="T35" fmla="*/ 2715 h 2851"/>
              <a:gd name="T36" fmla="*/ 1751 w 1757"/>
              <a:gd name="T37" fmla="*/ 2762 h 2851"/>
              <a:gd name="T38" fmla="*/ 1730 w 1757"/>
              <a:gd name="T39" fmla="*/ 2803 h 2851"/>
              <a:gd name="T40" fmla="*/ 1694 w 1757"/>
              <a:gd name="T41" fmla="*/ 2835 h 2851"/>
              <a:gd name="T42" fmla="*/ 1652 w 1757"/>
              <a:gd name="T43" fmla="*/ 2849 h 2851"/>
              <a:gd name="T44" fmla="*/ 1608 w 1757"/>
              <a:gd name="T45" fmla="*/ 2848 h 2851"/>
              <a:gd name="T46" fmla="*/ 1562 w 1757"/>
              <a:gd name="T47" fmla="*/ 2827 h 2851"/>
              <a:gd name="T48" fmla="*/ 1528 w 1757"/>
              <a:gd name="T49" fmla="*/ 2789 h 2851"/>
              <a:gd name="T50" fmla="*/ 1429 w 1757"/>
              <a:gd name="T51" fmla="*/ 2486 h 2851"/>
              <a:gd name="T52" fmla="*/ 1420 w 1757"/>
              <a:gd name="T53" fmla="*/ 2487 h 2851"/>
              <a:gd name="T54" fmla="*/ 333 w 1757"/>
              <a:gd name="T55" fmla="*/ 2487 h 2851"/>
              <a:gd name="T56" fmla="*/ 239 w 1757"/>
              <a:gd name="T57" fmla="*/ 2764 h 2851"/>
              <a:gd name="T58" fmla="*/ 218 w 1757"/>
              <a:gd name="T59" fmla="*/ 2804 h 2851"/>
              <a:gd name="T60" fmla="*/ 185 w 1757"/>
              <a:gd name="T61" fmla="*/ 2833 h 2851"/>
              <a:gd name="T62" fmla="*/ 144 w 1757"/>
              <a:gd name="T63" fmla="*/ 2849 h 2851"/>
              <a:gd name="T64" fmla="*/ 104 w 1757"/>
              <a:gd name="T65" fmla="*/ 2849 h 2851"/>
              <a:gd name="T66" fmla="*/ 62 w 1757"/>
              <a:gd name="T67" fmla="*/ 2835 h 2851"/>
              <a:gd name="T68" fmla="*/ 26 w 1757"/>
              <a:gd name="T69" fmla="*/ 2803 h 2851"/>
              <a:gd name="T70" fmla="*/ 4 w 1757"/>
              <a:gd name="T71" fmla="*/ 2762 h 2851"/>
              <a:gd name="T72" fmla="*/ 0 w 1757"/>
              <a:gd name="T73" fmla="*/ 2715 h 2851"/>
              <a:gd name="T74" fmla="*/ 662 w 1757"/>
              <a:gd name="T75" fmla="*/ 620 h 2851"/>
              <a:gd name="T76" fmla="*/ 601 w 1757"/>
              <a:gd name="T77" fmla="*/ 558 h 2851"/>
              <a:gd name="T78" fmla="*/ 557 w 1757"/>
              <a:gd name="T79" fmla="*/ 481 h 2851"/>
              <a:gd name="T80" fmla="*/ 533 w 1757"/>
              <a:gd name="T81" fmla="*/ 394 h 2851"/>
              <a:gd name="T82" fmla="*/ 533 w 1757"/>
              <a:gd name="T83" fmla="*/ 301 h 2851"/>
              <a:gd name="T84" fmla="*/ 557 w 1757"/>
              <a:gd name="T85" fmla="*/ 212 h 2851"/>
              <a:gd name="T86" fmla="*/ 603 w 1757"/>
              <a:gd name="T87" fmla="*/ 134 h 2851"/>
              <a:gd name="T88" fmla="*/ 666 w 1757"/>
              <a:gd name="T89" fmla="*/ 71 h 2851"/>
              <a:gd name="T90" fmla="*/ 744 w 1757"/>
              <a:gd name="T91" fmla="*/ 27 h 2851"/>
              <a:gd name="T92" fmla="*/ 832 w 1757"/>
              <a:gd name="T93" fmla="*/ 3 h 28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757" h="2851">
                <a:moveTo>
                  <a:pt x="484" y="1995"/>
                </a:moveTo>
                <a:lnTo>
                  <a:pt x="406" y="2241"/>
                </a:lnTo>
                <a:lnTo>
                  <a:pt x="1350" y="2241"/>
                </a:lnTo>
                <a:lnTo>
                  <a:pt x="1272" y="1995"/>
                </a:lnTo>
                <a:lnTo>
                  <a:pt x="484" y="1995"/>
                </a:lnTo>
                <a:close/>
                <a:moveTo>
                  <a:pt x="641" y="1501"/>
                </a:moveTo>
                <a:lnTo>
                  <a:pt x="562" y="1750"/>
                </a:lnTo>
                <a:lnTo>
                  <a:pt x="1194" y="1750"/>
                </a:lnTo>
                <a:lnTo>
                  <a:pt x="1115" y="1501"/>
                </a:lnTo>
                <a:lnTo>
                  <a:pt x="641" y="1501"/>
                </a:lnTo>
                <a:close/>
                <a:moveTo>
                  <a:pt x="878" y="753"/>
                </a:moveTo>
                <a:lnTo>
                  <a:pt x="720" y="1254"/>
                </a:lnTo>
                <a:lnTo>
                  <a:pt x="1037" y="1254"/>
                </a:lnTo>
                <a:lnTo>
                  <a:pt x="878" y="753"/>
                </a:lnTo>
                <a:close/>
                <a:moveTo>
                  <a:pt x="879" y="0"/>
                </a:moveTo>
                <a:lnTo>
                  <a:pt x="926" y="3"/>
                </a:lnTo>
                <a:lnTo>
                  <a:pt x="973" y="11"/>
                </a:lnTo>
                <a:lnTo>
                  <a:pt x="1016" y="27"/>
                </a:lnTo>
                <a:lnTo>
                  <a:pt x="1056" y="47"/>
                </a:lnTo>
                <a:lnTo>
                  <a:pt x="1093" y="72"/>
                </a:lnTo>
                <a:lnTo>
                  <a:pt x="1126" y="102"/>
                </a:lnTo>
                <a:lnTo>
                  <a:pt x="1156" y="134"/>
                </a:lnTo>
                <a:lnTo>
                  <a:pt x="1181" y="172"/>
                </a:lnTo>
                <a:lnTo>
                  <a:pt x="1201" y="212"/>
                </a:lnTo>
                <a:lnTo>
                  <a:pt x="1216" y="255"/>
                </a:lnTo>
                <a:lnTo>
                  <a:pt x="1225" y="301"/>
                </a:lnTo>
                <a:lnTo>
                  <a:pt x="1229" y="348"/>
                </a:lnTo>
                <a:lnTo>
                  <a:pt x="1225" y="394"/>
                </a:lnTo>
                <a:lnTo>
                  <a:pt x="1216" y="440"/>
                </a:lnTo>
                <a:lnTo>
                  <a:pt x="1201" y="483"/>
                </a:lnTo>
                <a:lnTo>
                  <a:pt x="1181" y="523"/>
                </a:lnTo>
                <a:lnTo>
                  <a:pt x="1157" y="560"/>
                </a:lnTo>
                <a:lnTo>
                  <a:pt x="1127" y="592"/>
                </a:lnTo>
                <a:lnTo>
                  <a:pt x="1095" y="622"/>
                </a:lnTo>
                <a:lnTo>
                  <a:pt x="1751" y="2691"/>
                </a:lnTo>
                <a:lnTo>
                  <a:pt x="1757" y="2715"/>
                </a:lnTo>
                <a:lnTo>
                  <a:pt x="1757" y="2739"/>
                </a:lnTo>
                <a:lnTo>
                  <a:pt x="1751" y="2762"/>
                </a:lnTo>
                <a:lnTo>
                  <a:pt x="1743" y="2784"/>
                </a:lnTo>
                <a:lnTo>
                  <a:pt x="1730" y="2803"/>
                </a:lnTo>
                <a:lnTo>
                  <a:pt x="1713" y="2821"/>
                </a:lnTo>
                <a:lnTo>
                  <a:pt x="1694" y="2835"/>
                </a:lnTo>
                <a:lnTo>
                  <a:pt x="1671" y="2844"/>
                </a:lnTo>
                <a:lnTo>
                  <a:pt x="1652" y="2849"/>
                </a:lnTo>
                <a:lnTo>
                  <a:pt x="1634" y="2850"/>
                </a:lnTo>
                <a:lnTo>
                  <a:pt x="1608" y="2848"/>
                </a:lnTo>
                <a:lnTo>
                  <a:pt x="1584" y="2839"/>
                </a:lnTo>
                <a:lnTo>
                  <a:pt x="1562" y="2827"/>
                </a:lnTo>
                <a:lnTo>
                  <a:pt x="1543" y="2810"/>
                </a:lnTo>
                <a:lnTo>
                  <a:pt x="1528" y="2789"/>
                </a:lnTo>
                <a:lnTo>
                  <a:pt x="1516" y="2764"/>
                </a:lnTo>
                <a:lnTo>
                  <a:pt x="1429" y="2486"/>
                </a:lnTo>
                <a:lnTo>
                  <a:pt x="1425" y="2487"/>
                </a:lnTo>
                <a:lnTo>
                  <a:pt x="1420" y="2487"/>
                </a:lnTo>
                <a:lnTo>
                  <a:pt x="338" y="2487"/>
                </a:lnTo>
                <a:lnTo>
                  <a:pt x="333" y="2487"/>
                </a:lnTo>
                <a:lnTo>
                  <a:pt x="329" y="2486"/>
                </a:lnTo>
                <a:lnTo>
                  <a:pt x="239" y="2764"/>
                </a:lnTo>
                <a:lnTo>
                  <a:pt x="231" y="2786"/>
                </a:lnTo>
                <a:lnTo>
                  <a:pt x="218" y="2804"/>
                </a:lnTo>
                <a:lnTo>
                  <a:pt x="203" y="2820"/>
                </a:lnTo>
                <a:lnTo>
                  <a:pt x="185" y="2833"/>
                </a:lnTo>
                <a:lnTo>
                  <a:pt x="165" y="2842"/>
                </a:lnTo>
                <a:lnTo>
                  <a:pt x="144" y="2849"/>
                </a:lnTo>
                <a:lnTo>
                  <a:pt x="122" y="2851"/>
                </a:lnTo>
                <a:lnTo>
                  <a:pt x="104" y="2849"/>
                </a:lnTo>
                <a:lnTo>
                  <a:pt x="85" y="2844"/>
                </a:lnTo>
                <a:lnTo>
                  <a:pt x="62" y="2835"/>
                </a:lnTo>
                <a:lnTo>
                  <a:pt x="42" y="2821"/>
                </a:lnTo>
                <a:lnTo>
                  <a:pt x="26" y="2803"/>
                </a:lnTo>
                <a:lnTo>
                  <a:pt x="13" y="2784"/>
                </a:lnTo>
                <a:lnTo>
                  <a:pt x="4" y="2762"/>
                </a:lnTo>
                <a:lnTo>
                  <a:pt x="0" y="2739"/>
                </a:lnTo>
                <a:lnTo>
                  <a:pt x="0" y="2715"/>
                </a:lnTo>
                <a:lnTo>
                  <a:pt x="5" y="2691"/>
                </a:lnTo>
                <a:lnTo>
                  <a:pt x="662" y="620"/>
                </a:lnTo>
                <a:lnTo>
                  <a:pt x="629" y="590"/>
                </a:lnTo>
                <a:lnTo>
                  <a:pt x="601" y="558"/>
                </a:lnTo>
                <a:lnTo>
                  <a:pt x="576" y="521"/>
                </a:lnTo>
                <a:lnTo>
                  <a:pt x="557" y="481"/>
                </a:lnTo>
                <a:lnTo>
                  <a:pt x="543" y="439"/>
                </a:lnTo>
                <a:lnTo>
                  <a:pt x="533" y="394"/>
                </a:lnTo>
                <a:lnTo>
                  <a:pt x="530" y="348"/>
                </a:lnTo>
                <a:lnTo>
                  <a:pt x="533" y="301"/>
                </a:lnTo>
                <a:lnTo>
                  <a:pt x="543" y="255"/>
                </a:lnTo>
                <a:lnTo>
                  <a:pt x="557" y="212"/>
                </a:lnTo>
                <a:lnTo>
                  <a:pt x="578" y="171"/>
                </a:lnTo>
                <a:lnTo>
                  <a:pt x="603" y="134"/>
                </a:lnTo>
                <a:lnTo>
                  <a:pt x="632" y="101"/>
                </a:lnTo>
                <a:lnTo>
                  <a:pt x="666" y="71"/>
                </a:lnTo>
                <a:lnTo>
                  <a:pt x="703" y="47"/>
                </a:lnTo>
                <a:lnTo>
                  <a:pt x="744" y="27"/>
                </a:lnTo>
                <a:lnTo>
                  <a:pt x="786" y="11"/>
                </a:lnTo>
                <a:lnTo>
                  <a:pt x="832" y="3"/>
                </a:lnTo>
                <a:lnTo>
                  <a:pt x="87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7</xdr:col>
      <xdr:colOff>457292</xdr:colOff>
      <xdr:row>14</xdr:row>
      <xdr:rowOff>152400</xdr:rowOff>
    </xdr:from>
    <xdr:to>
      <xdr:col>8</xdr:col>
      <xdr:colOff>536719</xdr:colOff>
      <xdr:row>16</xdr:row>
      <xdr:rowOff>555</xdr:rowOff>
    </xdr:to>
    <xdr:sp macro="" textlink="[1]Analysis!B48">
      <xdr:nvSpPr>
        <xdr:cNvPr id="215" name="TextBox 214">
          <a:extLst>
            <a:ext uri="{FF2B5EF4-FFF2-40B4-BE49-F238E27FC236}">
              <a16:creationId xmlns="" xmlns:a16="http://schemas.microsoft.com/office/drawing/2014/main" id="{00000000-0008-0000-0000-0000D7000000}"/>
            </a:ext>
          </a:extLst>
        </xdr:cNvPr>
        <xdr:cNvSpPr txBox="1"/>
      </xdr:nvSpPr>
      <xdr:spPr>
        <a:xfrm>
          <a:off x="4724492" y="2712720"/>
          <a:ext cx="689027" cy="213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83B640-9BDC-4838-B0F6-9C82BBD70360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1.6M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66675</xdr:colOff>
      <xdr:row>13</xdr:row>
      <xdr:rowOff>142875</xdr:rowOff>
    </xdr:from>
    <xdr:to>
      <xdr:col>8</xdr:col>
      <xdr:colOff>581025</xdr:colOff>
      <xdr:row>13</xdr:row>
      <xdr:rowOff>142875</xdr:rowOff>
    </xdr:to>
    <xdr:cxnSp macro="">
      <xdr:nvCxnSpPr>
        <xdr:cNvPr id="217" name="Straight Connector 216">
          <a:extLst>
            <a:ext uri="{FF2B5EF4-FFF2-40B4-BE49-F238E27FC236}">
              <a16:creationId xmlns="" xmlns:a16="http://schemas.microsoft.com/office/drawing/2014/main" id="{00000000-0008-0000-0000-0000D9000000}"/>
            </a:ext>
          </a:extLst>
        </xdr:cNvPr>
        <xdr:cNvCxnSpPr/>
      </xdr:nvCxnSpPr>
      <xdr:spPr>
        <a:xfrm>
          <a:off x="1895475" y="2505075"/>
          <a:ext cx="3562350" cy="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457200</xdr:colOff>
      <xdr:row>13</xdr:row>
      <xdr:rowOff>123037</xdr:rowOff>
    </xdr:from>
    <xdr:to>
      <xdr:col>5</xdr:col>
      <xdr:colOff>464269</xdr:colOff>
      <xdr:row>16</xdr:row>
      <xdr:rowOff>76200</xdr:rowOff>
    </xdr:to>
    <xdr:cxnSp macro="">
      <xdr:nvCxnSpPr>
        <xdr:cNvPr id="219" name="Straight Connector 218">
          <a:extLst>
            <a:ext uri="{FF2B5EF4-FFF2-40B4-BE49-F238E27FC236}">
              <a16:creationId xmlns="" xmlns:a16="http://schemas.microsoft.com/office/drawing/2014/main" id="{00000000-0008-0000-0000-0000DB000000}"/>
            </a:ext>
          </a:extLst>
        </xdr:cNvPr>
        <xdr:cNvCxnSpPr/>
      </xdr:nvCxnSpPr>
      <xdr:spPr>
        <a:xfrm flipH="1">
          <a:off x="3505200" y="2485237"/>
          <a:ext cx="7069" cy="496088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302334</xdr:colOff>
      <xdr:row>13</xdr:row>
      <xdr:rowOff>129376</xdr:rowOff>
    </xdr:from>
    <xdr:to>
      <xdr:col>7</xdr:col>
      <xdr:colOff>304800</xdr:colOff>
      <xdr:row>16</xdr:row>
      <xdr:rowOff>66675</xdr:rowOff>
    </xdr:to>
    <xdr:cxnSp macro="">
      <xdr:nvCxnSpPr>
        <xdr:cNvPr id="220" name="Straight Connector 219">
          <a:extLst>
            <a:ext uri="{FF2B5EF4-FFF2-40B4-BE49-F238E27FC236}">
              <a16:creationId xmlns="" xmlns:a16="http://schemas.microsoft.com/office/drawing/2014/main" id="{00000000-0008-0000-0000-0000DC000000}"/>
            </a:ext>
          </a:extLst>
        </xdr:cNvPr>
        <xdr:cNvCxnSpPr/>
      </xdr:nvCxnSpPr>
      <xdr:spPr>
        <a:xfrm>
          <a:off x="4569534" y="2491576"/>
          <a:ext cx="2466" cy="480224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581025</xdr:colOff>
      <xdr:row>3</xdr:row>
      <xdr:rowOff>123825</xdr:rowOff>
    </xdr:from>
    <xdr:to>
      <xdr:col>6</xdr:col>
      <xdr:colOff>392309</xdr:colOff>
      <xdr:row>4</xdr:row>
      <xdr:rowOff>99456</xdr:rowOff>
    </xdr:to>
    <xdr:sp macro="" textlink="">
      <xdr:nvSpPr>
        <xdr:cNvPr id="161" name="TextBox 160">
          <a:extLst>
            <a:ext uri="{FF2B5EF4-FFF2-40B4-BE49-F238E27FC236}">
              <a16:creationId xmlns="" xmlns:a16="http://schemas.microsoft.com/office/drawing/2014/main" id="{00000000-0008-0000-0000-000009010000}"/>
            </a:ext>
          </a:extLst>
        </xdr:cNvPr>
        <xdr:cNvSpPr txBox="1"/>
      </xdr:nvSpPr>
      <xdr:spPr>
        <a:xfrm>
          <a:off x="1800225" y="666750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Sales (USD)</a:t>
          </a:r>
        </a:p>
      </xdr:txBody>
    </xdr:sp>
    <xdr:clientData/>
  </xdr:twoCellAnchor>
  <xdr:twoCellAnchor>
    <xdr:from>
      <xdr:col>3</xdr:col>
      <xdr:colOff>57150</xdr:colOff>
      <xdr:row>2</xdr:row>
      <xdr:rowOff>142875</xdr:rowOff>
    </xdr:from>
    <xdr:to>
      <xdr:col>4</xdr:col>
      <xdr:colOff>323850</xdr:colOff>
      <xdr:row>3</xdr:row>
      <xdr:rowOff>166065</xdr:rowOff>
    </xdr:to>
    <xdr:sp macro="" textlink="Analysis!$U$15">
      <xdr:nvSpPr>
        <xdr:cNvPr id="163" name="TextBox 162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885950" y="504825"/>
          <a:ext cx="876300" cy="2041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7CB0A7-FA8F-489C-8704-69C889A3F871}" type="TxLink">
            <a:rPr lang="en-US" sz="1100" b="1">
              <a:solidFill>
                <a:srgbClr val="00B0F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58924427.51</a:t>
          </a:fld>
          <a:endParaRPr lang="en-US" sz="1100" b="1"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19050</xdr:rowOff>
        </xdr:from>
        <xdr:to>
          <xdr:col>4</xdr:col>
          <xdr:colOff>495300</xdr:colOff>
          <xdr:row>3</xdr:row>
          <xdr:rowOff>28575</xdr:rowOff>
        </xdr:to>
        <xdr:pic>
          <xdr:nvPicPr>
            <xdr:cNvPr id="166" name="Picture 165"/>
            <xdr:cNvPicPr>
              <a:picLocks noChangeAspect="1" noChangeArrowheads="1"/>
              <a:extLst>
                <a:ext uri="{84589F7E-364E-4C9E-8A38-B11213B215E9}">
                  <a14:cameraTool cellRange="Analysis!$U$17" spid="_x0000_s332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857375" y="381000"/>
              <a:ext cx="10763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371475</xdr:colOff>
      <xdr:row>2</xdr:row>
      <xdr:rowOff>0</xdr:rowOff>
    </xdr:from>
    <xdr:to>
      <xdr:col>5</xdr:col>
      <xdr:colOff>371475</xdr:colOff>
      <xdr:row>4</xdr:row>
      <xdr:rowOff>66675</xdr:rowOff>
    </xdr:to>
    <xdr:cxnSp macro="">
      <xdr:nvCxnSpPr>
        <xdr:cNvPr id="167" name="Straight Connector 166">
          <a:extLst>
            <a:ext uri="{FF2B5EF4-FFF2-40B4-BE49-F238E27FC236}">
              <a16:creationId xmlns="" xmlns:a16="http://schemas.microsoft.com/office/drawing/2014/main" id="{00000000-0008-0000-0000-00000A010000}"/>
            </a:ext>
          </a:extLst>
        </xdr:cNvPr>
        <xdr:cNvCxnSpPr/>
      </xdr:nvCxnSpPr>
      <xdr:spPr>
        <a:xfrm>
          <a:off x="3419475" y="361950"/>
          <a:ext cx="0" cy="42862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495300</xdr:colOff>
      <xdr:row>2</xdr:row>
      <xdr:rowOff>0</xdr:rowOff>
    </xdr:from>
    <xdr:to>
      <xdr:col>8</xdr:col>
      <xdr:colOff>495301</xdr:colOff>
      <xdr:row>4</xdr:row>
      <xdr:rowOff>47625</xdr:rowOff>
    </xdr:to>
    <xdr:cxnSp macro="">
      <xdr:nvCxnSpPr>
        <xdr:cNvPr id="170" name="Straight Connector 169">
          <a:extLst>
            <a:ext uri="{FF2B5EF4-FFF2-40B4-BE49-F238E27FC236}">
              <a16:creationId xmlns="" xmlns:a16="http://schemas.microsoft.com/office/drawing/2014/main" id="{00000000-0008-0000-0000-00000E010000}"/>
            </a:ext>
          </a:extLst>
        </xdr:cNvPr>
        <xdr:cNvCxnSpPr/>
      </xdr:nvCxnSpPr>
      <xdr:spPr>
        <a:xfrm flipH="1">
          <a:off x="5372100" y="361950"/>
          <a:ext cx="1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357869</xdr:colOff>
      <xdr:row>1</xdr:row>
      <xdr:rowOff>161926</xdr:rowOff>
    </xdr:from>
    <xdr:to>
      <xdr:col>12</xdr:col>
      <xdr:colOff>361950</xdr:colOff>
      <xdr:row>4</xdr:row>
      <xdr:rowOff>57150</xdr:rowOff>
    </xdr:to>
    <xdr:cxnSp macro="">
      <xdr:nvCxnSpPr>
        <xdr:cNvPr id="178" name="Straight Connector 177">
          <a:extLst>
            <a:ext uri="{FF2B5EF4-FFF2-40B4-BE49-F238E27FC236}">
              <a16:creationId xmlns="" xmlns:a16="http://schemas.microsoft.com/office/drawing/2014/main" id="{00000000-0008-0000-0000-00001E010000}"/>
            </a:ext>
          </a:extLst>
        </xdr:cNvPr>
        <xdr:cNvCxnSpPr/>
      </xdr:nvCxnSpPr>
      <xdr:spPr>
        <a:xfrm>
          <a:off x="7673069" y="342901"/>
          <a:ext cx="4081" cy="438149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3</xdr:row>
      <xdr:rowOff>104775</xdr:rowOff>
    </xdr:from>
    <xdr:to>
      <xdr:col>9</xdr:col>
      <xdr:colOff>411359</xdr:colOff>
      <xdr:row>4</xdr:row>
      <xdr:rowOff>80406</xdr:rowOff>
    </xdr:to>
    <xdr:sp macro="" textlink="">
      <xdr:nvSpPr>
        <xdr:cNvPr id="182" name="TextBox 181">
          <a:extLst>
            <a:ext uri="{FF2B5EF4-FFF2-40B4-BE49-F238E27FC236}">
              <a16:creationId xmlns="" xmlns:a16="http://schemas.microsoft.com/office/drawing/2014/main" id="{00000000-0008-0000-0000-000009010000}"/>
            </a:ext>
          </a:extLst>
        </xdr:cNvPr>
        <xdr:cNvSpPr txBox="1"/>
      </xdr:nvSpPr>
      <xdr:spPr>
        <a:xfrm>
          <a:off x="3648075" y="647700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Profit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</a:p>
      </xdr:txBody>
    </xdr:sp>
    <xdr:clientData/>
  </xdr:twoCellAnchor>
  <xdr:twoCellAnchor>
    <xdr:from>
      <xdr:col>6</xdr:col>
      <xdr:colOff>28575</xdr:colOff>
      <xdr:row>2</xdr:row>
      <xdr:rowOff>95251</xdr:rowOff>
    </xdr:from>
    <xdr:to>
      <xdr:col>8</xdr:col>
      <xdr:colOff>342900</xdr:colOff>
      <xdr:row>3</xdr:row>
      <xdr:rowOff>133350</xdr:rowOff>
    </xdr:to>
    <xdr:sp macro="" textlink="[2]ANALYSIS!X15">
      <xdr:nvSpPr>
        <xdr:cNvPr id="183" name="TextBox 182"/>
        <xdr:cNvSpPr txBox="1"/>
      </xdr:nvSpPr>
      <xdr:spPr>
        <a:xfrm>
          <a:off x="3686175" y="457201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6F91CD-E736-4BFD-B16A-A10D743C2C98}" type="TxLink">
            <a:rPr lang="en-IN" sz="1050">
              <a:ln>
                <a:noFill/>
              </a:ln>
              <a:solidFill>
                <a:srgbClr val="00B0F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95,74,549 </a:t>
          </a:fld>
          <a:endParaRPr lang="en-IN" sz="1050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152399</xdr:colOff>
          <xdr:row>1</xdr:row>
          <xdr:rowOff>161925</xdr:rowOff>
        </xdr:from>
        <xdr:to>
          <xdr:col>7</xdr:col>
          <xdr:colOff>428624</xdr:colOff>
          <xdr:row>2</xdr:row>
          <xdr:rowOff>177431</xdr:rowOff>
        </xdr:to>
        <xdr:pic>
          <xdr:nvPicPr>
            <xdr:cNvPr id="184" name="Picture 183"/>
            <xdr:cNvPicPr>
              <a:picLocks noChangeAspect="1" noChangeArrowheads="1"/>
              <a:extLst>
                <a:ext uri="{84589F7E-364E-4C9E-8A38-B11213B215E9}">
                  <a14:cameraTool cellRange="Analysis!$V$17" spid="_x0000_s332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3809999" y="342900"/>
              <a:ext cx="885825" cy="2060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12</xdr:col>
      <xdr:colOff>419100</xdr:colOff>
      <xdr:row>3</xdr:row>
      <xdr:rowOff>9525</xdr:rowOff>
    </xdr:from>
    <xdr:to>
      <xdr:col>15</xdr:col>
      <xdr:colOff>504825</xdr:colOff>
      <xdr:row>4</xdr:row>
      <xdr:rowOff>51831</xdr:rowOff>
    </xdr:to>
    <xdr:sp macro="" textlink="">
      <xdr:nvSpPr>
        <xdr:cNvPr id="185" name="TextBox 184">
          <a:extLst>
            <a:ext uri="{FF2B5EF4-FFF2-40B4-BE49-F238E27FC236}">
              <a16:creationId xmlns="" xmlns:a16="http://schemas.microsoft.com/office/drawing/2014/main" id="{00000000-0008-0000-0000-00001F010000}"/>
            </a:ext>
          </a:extLst>
        </xdr:cNvPr>
        <xdr:cNvSpPr txBox="1"/>
      </xdr:nvSpPr>
      <xdr:spPr>
        <a:xfrm>
          <a:off x="7734300" y="552450"/>
          <a:ext cx="1914525" cy="223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per Product Sold (USD)</a:t>
          </a:r>
        </a:p>
      </xdr:txBody>
    </xdr:sp>
    <xdr:clientData/>
  </xdr:twoCellAnchor>
  <xdr:twoCellAnchor>
    <xdr:from>
      <xdr:col>13</xdr:col>
      <xdr:colOff>428625</xdr:colOff>
      <xdr:row>2</xdr:row>
      <xdr:rowOff>47625</xdr:rowOff>
    </xdr:from>
    <xdr:to>
      <xdr:col>14</xdr:col>
      <xdr:colOff>266700</xdr:colOff>
      <xdr:row>3</xdr:row>
      <xdr:rowOff>171450</xdr:rowOff>
    </xdr:to>
    <xdr:sp macro="" textlink="Analysis!Y15">
      <xdr:nvSpPr>
        <xdr:cNvPr id="221" name="TextBox 220"/>
        <xdr:cNvSpPr txBox="1"/>
      </xdr:nvSpPr>
      <xdr:spPr>
        <a:xfrm>
          <a:off x="8353425" y="409575"/>
          <a:ext cx="447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3848E-6DAB-4A87-BFC6-3C91955BC4F6}" type="TxLink">
            <a:rPr lang="en-IN" sz="1100" b="1">
              <a:solidFill>
                <a:srgbClr val="0070C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17 </a:t>
          </a:fld>
          <a:endParaRPr lang="en-IN" sz="1100" b="1">
            <a:solidFill>
              <a:srgbClr val="0070C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</xdr:row>
          <xdr:rowOff>0</xdr:rowOff>
        </xdr:from>
        <xdr:to>
          <xdr:col>15</xdr:col>
          <xdr:colOff>180975</xdr:colOff>
          <xdr:row>3</xdr:row>
          <xdr:rowOff>9525</xdr:rowOff>
        </xdr:to>
        <xdr:pic>
          <xdr:nvPicPr>
            <xdr:cNvPr id="224" name="Picture 223"/>
            <xdr:cNvPicPr>
              <a:picLocks noChangeAspect="1" noChangeArrowheads="1"/>
              <a:extLst>
                <a:ext uri="{84589F7E-364E-4C9E-8A38-B11213B215E9}">
                  <a14:cameraTool cellRange="Analysis!$Y$17" spid="_x0000_s332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7962900" y="361950"/>
              <a:ext cx="136207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352425</xdr:colOff>
      <xdr:row>3</xdr:row>
      <xdr:rowOff>76200</xdr:rowOff>
    </xdr:from>
    <xdr:to>
      <xdr:col>13</xdr:col>
      <xdr:colOff>163710</xdr:colOff>
      <xdr:row>4</xdr:row>
      <xdr:rowOff>51831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xmlns="" id="{00000000-0008-0000-0000-00000F010000}"/>
            </a:ext>
          </a:extLst>
        </xdr:cNvPr>
        <xdr:cNvSpPr txBox="1"/>
      </xdr:nvSpPr>
      <xdr:spPr>
        <a:xfrm>
          <a:off x="5838825" y="628650"/>
          <a:ext cx="2249685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7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Profit</a:t>
          </a:r>
          <a:r>
            <a:rPr lang="en-US" sz="7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Margin (%)</a:t>
          </a:r>
          <a:endParaRPr lang="en-US" sz="7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590550</xdr:colOff>
      <xdr:row>2</xdr:row>
      <xdr:rowOff>104776</xdr:rowOff>
    </xdr:from>
    <xdr:to>
      <xdr:col>10</xdr:col>
      <xdr:colOff>590550</xdr:colOff>
      <xdr:row>3</xdr:row>
      <xdr:rowOff>171451</xdr:rowOff>
    </xdr:to>
    <xdr:sp macro="" textlink="Analysis!X15">
      <xdr:nvSpPr>
        <xdr:cNvPr id="226" name="TextBox 225">
          <a:extLst>
            <a:ext uri="{FF2B5EF4-FFF2-40B4-BE49-F238E27FC236}">
              <a16:creationId xmlns:a16="http://schemas.microsoft.com/office/drawing/2014/main" xmlns="" id="{00000000-0008-0000-0000-00001D010000}"/>
            </a:ext>
          </a:extLst>
        </xdr:cNvPr>
        <xdr:cNvSpPr txBox="1"/>
      </xdr:nvSpPr>
      <xdr:spPr>
        <a:xfrm>
          <a:off x="6076950" y="476251"/>
          <a:ext cx="609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93FB9ABD-1B38-4AC7-8E29-BDDE33E2F9AA}" type="TxLink">
            <a:rPr lang="en-US" sz="900" b="1" i="0" u="none" strike="noStrike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16%</a:t>
          </a:fld>
          <a:endParaRPr lang="en-US" sz="900" b="1" i="0" u="none" strike="noStrike">
            <a:solidFill>
              <a:srgbClr val="01B9D5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4</xdr:col>
      <xdr:colOff>52</xdr:colOff>
      <xdr:row>18</xdr:row>
      <xdr:rowOff>1243</xdr:rowOff>
    </xdr:to>
    <xdr:sp macro="" textlink="[3]Analysis!B40">
      <xdr:nvSpPr>
        <xdr:cNvPr id="227" name="TextBox 226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SpPr txBox="1"/>
      </xdr:nvSpPr>
      <xdr:spPr>
        <a:xfrm>
          <a:off x="1828800" y="3086100"/>
          <a:ext cx="609652" cy="1822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C34897A-A728-422A-9474-2BFFC9F57F1A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0.6M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242052</xdr:colOff>
      <xdr:row>15</xdr:row>
      <xdr:rowOff>79070</xdr:rowOff>
    </xdr:from>
    <xdr:to>
      <xdr:col>4</xdr:col>
      <xdr:colOff>245251</xdr:colOff>
      <xdr:row>16</xdr:row>
      <xdr:rowOff>97733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xmlns="" id="{00000000-0008-0000-0000-00003D010000}"/>
            </a:ext>
          </a:extLst>
        </xdr:cNvPr>
        <xdr:cNvSpPr txBox="1"/>
      </xdr:nvSpPr>
      <xdr:spPr>
        <a:xfrm>
          <a:off x="2070852" y="2803220"/>
          <a:ext cx="612799" cy="19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28575</xdr:colOff>
      <xdr:row>6</xdr:row>
      <xdr:rowOff>0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xmlns="" id="{00000000-0008-0000-00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7375" cy="1095375"/>
        </a:xfrm>
        <a:prstGeom prst="rect">
          <a:avLst/>
        </a:prstGeom>
        <a:solidFill>
          <a:srgbClr val="151426"/>
        </a:solidFill>
      </xdr:spPr>
    </xdr:pic>
    <xdr:clientData/>
  </xdr:twoCellAnchor>
  <xdr:twoCellAnchor>
    <xdr:from>
      <xdr:col>0</xdr:col>
      <xdr:colOff>95250</xdr:colOff>
      <xdr:row>14</xdr:row>
      <xdr:rowOff>152400</xdr:rowOff>
    </xdr:from>
    <xdr:to>
      <xdr:col>2</xdr:col>
      <xdr:colOff>350226</xdr:colOff>
      <xdr:row>19</xdr:row>
      <xdr:rowOff>87924</xdr:rowOff>
    </xdr:to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95250" y="2695575"/>
          <a:ext cx="1474176" cy="840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  <a:endParaRPr lang="en-US" sz="800" b="1" baseline="0">
            <a:solidFill>
              <a:srgbClr val="0193AB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en-US" sz="11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LEADERBOARD</a:t>
          </a:r>
        </a:p>
        <a:p>
          <a:pPr algn="ctr"/>
          <a:r>
            <a:rPr lang="en-US" sz="800" b="1" baseline="0">
              <a:solidFill>
                <a:srgbClr val="0193AB"/>
              </a:solidFill>
            </a:rPr>
            <a:t>--- </a:t>
          </a:r>
          <a:r>
            <a:rPr lang="en-US" sz="800" b="1" baseline="0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TEAM-</a:t>
          </a:r>
          <a:r>
            <a:rPr lang="en-US" sz="800" b="1" baseline="0">
              <a:solidFill>
                <a:srgbClr val="0193AB"/>
              </a:solidFill>
            </a:rPr>
            <a:t>--</a:t>
          </a:r>
          <a:endParaRPr lang="en-US" sz="800" b="1">
            <a:solidFill>
              <a:srgbClr val="0193A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18</xdr:row>
          <xdr:rowOff>66676</xdr:rowOff>
        </xdr:from>
        <xdr:to>
          <xdr:col>3</xdr:col>
          <xdr:colOff>37155</xdr:colOff>
          <xdr:row>24</xdr:row>
          <xdr:rowOff>9526</xdr:rowOff>
        </xdr:to>
        <xdr:pic>
          <xdr:nvPicPr>
            <xdr:cNvPr id="232" name="Picture 231"/>
            <xdr:cNvPicPr>
              <a:picLocks noChangeAspect="1" noChangeArrowheads="1"/>
              <a:extLst>
                <a:ext uri="{84589F7E-364E-4C9E-8A38-B11213B215E9}">
                  <a14:cameraTool cellRange="Analysis!$Z$57:$AA$62" spid="_x0000_s332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38100" y="3333751"/>
              <a:ext cx="1827855" cy="1028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0</xdr:colOff>
      <xdr:row>0</xdr:row>
      <xdr:rowOff>95250</xdr:rowOff>
    </xdr:from>
    <xdr:to>
      <xdr:col>8</xdr:col>
      <xdr:colOff>78964</xdr:colOff>
      <xdr:row>1</xdr:row>
      <xdr:rowOff>169372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SpPr txBox="1"/>
      </xdr:nvSpPr>
      <xdr:spPr>
        <a:xfrm>
          <a:off x="2438400" y="95250"/>
          <a:ext cx="2517364" cy="25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6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Dashboard </a:t>
          </a:r>
          <a:r>
            <a:rPr lang="en-US" sz="16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2014</a:t>
          </a:r>
          <a:endParaRPr lang="en-US" sz="16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66677</xdr:colOff>
      <xdr:row>37</xdr:row>
      <xdr:rowOff>66675</xdr:rowOff>
    </xdr:from>
    <xdr:to>
      <xdr:col>4</xdr:col>
      <xdr:colOff>504825</xdr:colOff>
      <xdr:row>39</xdr:row>
      <xdr:rowOff>9922</xdr:rowOff>
    </xdr:to>
    <xdr:sp macro="" textlink="Analysis!U37">
      <xdr:nvSpPr>
        <xdr:cNvPr id="234" name="TextBox 233">
          <a:extLst>
            <a:ext uri="{FF2B5EF4-FFF2-40B4-BE49-F238E27FC236}">
              <a16:creationId xmlns:a16="http://schemas.microsoft.com/office/drawing/2014/main" xmlns="" id="{00000000-0008-0000-0000-000023010000}"/>
            </a:ext>
          </a:extLst>
        </xdr:cNvPr>
        <xdr:cNvSpPr txBox="1"/>
      </xdr:nvSpPr>
      <xdr:spPr>
        <a:xfrm>
          <a:off x="2505077" y="6781800"/>
          <a:ext cx="438148" cy="324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1AAECC3-5B2A-4F31-B8C1-7207229312E2}" type="TxLink">
            <a:rPr lang="en-US" sz="1400" b="1" i="0" u="none" strike="noStrike">
              <a:solidFill>
                <a:srgbClr val="01B9D5"/>
              </a:solidFill>
              <a:latin typeface="Tahoma"/>
              <a:ea typeface="Tahoma"/>
              <a:cs typeface="Tahoma"/>
            </a:rPr>
            <a:pPr marL="0" indent="0"/>
            <a:t>29</a:t>
          </a:fld>
          <a:endParaRPr lang="en-US" sz="1400" b="1" i="0" u="none" strike="noStrike">
            <a:solidFill>
              <a:srgbClr val="01B9D5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3</xdr:col>
      <xdr:colOff>66675</xdr:colOff>
      <xdr:row>27</xdr:row>
      <xdr:rowOff>15104</xdr:rowOff>
    </xdr:from>
    <xdr:to>
      <xdr:col>8</xdr:col>
      <xdr:colOff>561975</xdr:colOff>
      <xdr:row>27</xdr:row>
      <xdr:rowOff>28575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CxnSpPr/>
      </xdr:nvCxnSpPr>
      <xdr:spPr>
        <a:xfrm>
          <a:off x="1895475" y="4910954"/>
          <a:ext cx="3543300" cy="13471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27</xdr:row>
      <xdr:rowOff>19050</xdr:rowOff>
    </xdr:from>
    <xdr:to>
      <xdr:col>7</xdr:col>
      <xdr:colOff>523875</xdr:colOff>
      <xdr:row>29</xdr:row>
      <xdr:rowOff>66675</xdr:rowOff>
    </xdr:to>
    <xdr:cxnSp macro="">
      <xdr:nvCxnSpPr>
        <xdr:cNvPr id="236" name="Straight Connector 235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CxnSpPr/>
      </xdr:nvCxnSpPr>
      <xdr:spPr>
        <a:xfrm>
          <a:off x="4791075" y="4914900"/>
          <a:ext cx="0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135122</xdr:colOff>
      <xdr:row>28</xdr:row>
      <xdr:rowOff>17</xdr:rowOff>
    </xdr:from>
    <xdr:to>
      <xdr:col>3</xdr:col>
      <xdr:colOff>285327</xdr:colOff>
      <xdr:row>28</xdr:row>
      <xdr:rowOff>179509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xmlns="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63922" y="5076842"/>
          <a:ext cx="150205" cy="179492"/>
        </a:xfrm>
        <a:prstGeom prst="rect">
          <a:avLst/>
        </a:prstGeom>
      </xdr:spPr>
    </xdr:pic>
    <xdr:clientData/>
  </xdr:twoCellAnchor>
  <xdr:twoCellAnchor>
    <xdr:from>
      <xdr:col>8</xdr:col>
      <xdr:colOff>790</xdr:colOff>
      <xdr:row>28</xdr:row>
      <xdr:rowOff>14739</xdr:rowOff>
    </xdr:from>
    <xdr:to>
      <xdr:col>8</xdr:col>
      <xdr:colOff>164372</xdr:colOff>
      <xdr:row>29</xdr:row>
      <xdr:rowOff>14456</xdr:rowOff>
    </xdr:to>
    <xdr:grpSp>
      <xdr:nvGrpSpPr>
        <xdr:cNvPr id="238" name="Group 237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GrpSpPr/>
      </xdr:nvGrpSpPr>
      <xdr:grpSpPr>
        <a:xfrm>
          <a:off x="4877590" y="5348739"/>
          <a:ext cx="163582" cy="190217"/>
          <a:chOff x="1092200" y="1422400"/>
          <a:chExt cx="622301" cy="687388"/>
        </a:xfrm>
        <a:solidFill>
          <a:srgbClr val="4D515D"/>
        </a:solidFill>
      </xdr:grpSpPr>
      <xdr:sp macro="" textlink="">
        <xdr:nvSpPr>
          <xdr:cNvPr id="239" name="Freeform 238">
            <a:extLst>
              <a:ext uri="{FF2B5EF4-FFF2-40B4-BE49-F238E27FC236}">
                <a16:creationId xmlns:a16="http://schemas.microsoft.com/office/drawing/2014/main" xmlns="" id="{00000000-0008-0000-0000-000078000000}"/>
              </a:ext>
            </a:extLst>
          </xdr:cNvPr>
          <xdr:cNvSpPr>
            <a:spLocks/>
          </xdr:cNvSpPr>
        </xdr:nvSpPr>
        <xdr:spPr bwMode="auto">
          <a:xfrm>
            <a:off x="1160463" y="1471613"/>
            <a:ext cx="88900" cy="284163"/>
          </a:xfrm>
          <a:custGeom>
            <a:avLst/>
            <a:gdLst>
              <a:gd name="T0" fmla="*/ 352 w 447"/>
              <a:gd name="T1" fmla="*/ 5 h 1431"/>
              <a:gd name="T2" fmla="*/ 390 w 447"/>
              <a:gd name="T3" fmla="*/ 28 h 1431"/>
              <a:gd name="T4" fmla="*/ 433 w 447"/>
              <a:gd name="T5" fmla="*/ 74 h 1431"/>
              <a:gd name="T6" fmla="*/ 446 w 447"/>
              <a:gd name="T7" fmla="*/ 112 h 1431"/>
              <a:gd name="T8" fmla="*/ 444 w 447"/>
              <a:gd name="T9" fmla="*/ 152 h 1431"/>
              <a:gd name="T10" fmla="*/ 424 w 447"/>
              <a:gd name="T11" fmla="*/ 188 h 1431"/>
              <a:gd name="T12" fmla="*/ 405 w 447"/>
              <a:gd name="T13" fmla="*/ 209 h 1431"/>
              <a:gd name="T14" fmla="*/ 338 w 447"/>
              <a:gd name="T15" fmla="*/ 310 h 1431"/>
              <a:gd name="T16" fmla="*/ 286 w 447"/>
              <a:gd name="T17" fmla="*/ 420 h 1431"/>
              <a:gd name="T18" fmla="*/ 251 w 447"/>
              <a:gd name="T19" fmla="*/ 534 h 1431"/>
              <a:gd name="T20" fmla="*/ 235 w 447"/>
              <a:gd name="T21" fmla="*/ 652 h 1431"/>
              <a:gd name="T22" fmla="*/ 234 w 447"/>
              <a:gd name="T23" fmla="*/ 770 h 1431"/>
              <a:gd name="T24" fmla="*/ 249 w 447"/>
              <a:gd name="T25" fmla="*/ 888 h 1431"/>
              <a:gd name="T26" fmla="*/ 283 w 447"/>
              <a:gd name="T27" fmla="*/ 1002 h 1431"/>
              <a:gd name="T28" fmla="*/ 333 w 447"/>
              <a:gd name="T29" fmla="*/ 1112 h 1431"/>
              <a:gd name="T30" fmla="*/ 392 w 447"/>
              <a:gd name="T31" fmla="*/ 1202 h 1431"/>
              <a:gd name="T32" fmla="*/ 437 w 447"/>
              <a:gd name="T33" fmla="*/ 1262 h 1431"/>
              <a:gd name="T34" fmla="*/ 447 w 447"/>
              <a:gd name="T35" fmla="*/ 1300 h 1431"/>
              <a:gd name="T36" fmla="*/ 442 w 447"/>
              <a:gd name="T37" fmla="*/ 1339 h 1431"/>
              <a:gd name="T38" fmla="*/ 420 w 447"/>
              <a:gd name="T39" fmla="*/ 1373 h 1431"/>
              <a:gd name="T40" fmla="*/ 372 w 447"/>
              <a:gd name="T41" fmla="*/ 1418 h 1431"/>
              <a:gd name="T42" fmla="*/ 329 w 447"/>
              <a:gd name="T43" fmla="*/ 1431 h 1431"/>
              <a:gd name="T44" fmla="*/ 287 w 447"/>
              <a:gd name="T45" fmla="*/ 1424 h 1431"/>
              <a:gd name="T46" fmla="*/ 250 w 447"/>
              <a:gd name="T47" fmla="*/ 1398 h 1431"/>
              <a:gd name="T48" fmla="*/ 179 w 447"/>
              <a:gd name="T49" fmla="*/ 1303 h 1431"/>
              <a:gd name="T50" fmla="*/ 107 w 447"/>
              <a:gd name="T51" fmla="*/ 1179 h 1431"/>
              <a:gd name="T52" fmla="*/ 49 w 447"/>
              <a:gd name="T53" fmla="*/ 1036 h 1431"/>
              <a:gd name="T54" fmla="*/ 12 w 447"/>
              <a:gd name="T55" fmla="*/ 878 h 1431"/>
              <a:gd name="T56" fmla="*/ 0 w 447"/>
              <a:gd name="T57" fmla="*/ 715 h 1431"/>
              <a:gd name="T58" fmla="*/ 12 w 447"/>
              <a:gd name="T59" fmla="*/ 553 h 1431"/>
              <a:gd name="T60" fmla="*/ 49 w 447"/>
              <a:gd name="T61" fmla="*/ 395 h 1431"/>
              <a:gd name="T62" fmla="*/ 105 w 447"/>
              <a:gd name="T63" fmla="*/ 256 h 1431"/>
              <a:gd name="T64" fmla="*/ 170 w 447"/>
              <a:gd name="T65" fmla="*/ 140 h 1431"/>
              <a:gd name="T66" fmla="*/ 250 w 447"/>
              <a:gd name="T67" fmla="*/ 33 h 1431"/>
              <a:gd name="T68" fmla="*/ 287 w 447"/>
              <a:gd name="T69" fmla="*/ 7 h 1431"/>
              <a:gd name="T70" fmla="*/ 329 w 447"/>
              <a:gd name="T71" fmla="*/ 0 h 1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7" h="1431">
                <a:moveTo>
                  <a:pt x="329" y="0"/>
                </a:moveTo>
                <a:lnTo>
                  <a:pt x="352" y="5"/>
                </a:lnTo>
                <a:lnTo>
                  <a:pt x="372" y="14"/>
                </a:lnTo>
                <a:lnTo>
                  <a:pt x="390" y="28"/>
                </a:lnTo>
                <a:lnTo>
                  <a:pt x="420" y="58"/>
                </a:lnTo>
                <a:lnTo>
                  <a:pt x="433" y="74"/>
                </a:lnTo>
                <a:lnTo>
                  <a:pt x="442" y="93"/>
                </a:lnTo>
                <a:lnTo>
                  <a:pt x="446" y="112"/>
                </a:lnTo>
                <a:lnTo>
                  <a:pt x="447" y="132"/>
                </a:lnTo>
                <a:lnTo>
                  <a:pt x="444" y="152"/>
                </a:lnTo>
                <a:lnTo>
                  <a:pt x="436" y="171"/>
                </a:lnTo>
                <a:lnTo>
                  <a:pt x="424" y="188"/>
                </a:lnTo>
                <a:lnTo>
                  <a:pt x="413" y="200"/>
                </a:lnTo>
                <a:lnTo>
                  <a:pt x="405" y="209"/>
                </a:lnTo>
                <a:lnTo>
                  <a:pt x="370" y="258"/>
                </a:lnTo>
                <a:lnTo>
                  <a:pt x="338" y="310"/>
                </a:lnTo>
                <a:lnTo>
                  <a:pt x="310" y="365"/>
                </a:lnTo>
                <a:lnTo>
                  <a:pt x="286" y="420"/>
                </a:lnTo>
                <a:lnTo>
                  <a:pt x="267" y="477"/>
                </a:lnTo>
                <a:lnTo>
                  <a:pt x="251" y="534"/>
                </a:lnTo>
                <a:lnTo>
                  <a:pt x="241" y="593"/>
                </a:lnTo>
                <a:lnTo>
                  <a:pt x="235" y="652"/>
                </a:lnTo>
                <a:lnTo>
                  <a:pt x="231" y="711"/>
                </a:lnTo>
                <a:lnTo>
                  <a:pt x="234" y="770"/>
                </a:lnTo>
                <a:lnTo>
                  <a:pt x="240" y="829"/>
                </a:lnTo>
                <a:lnTo>
                  <a:pt x="249" y="888"/>
                </a:lnTo>
                <a:lnTo>
                  <a:pt x="264" y="946"/>
                </a:lnTo>
                <a:lnTo>
                  <a:pt x="283" y="1002"/>
                </a:lnTo>
                <a:lnTo>
                  <a:pt x="305" y="1058"/>
                </a:lnTo>
                <a:lnTo>
                  <a:pt x="333" y="1112"/>
                </a:lnTo>
                <a:lnTo>
                  <a:pt x="361" y="1158"/>
                </a:lnTo>
                <a:lnTo>
                  <a:pt x="392" y="1202"/>
                </a:lnTo>
                <a:lnTo>
                  <a:pt x="425" y="1245"/>
                </a:lnTo>
                <a:lnTo>
                  <a:pt x="437" y="1262"/>
                </a:lnTo>
                <a:lnTo>
                  <a:pt x="444" y="1280"/>
                </a:lnTo>
                <a:lnTo>
                  <a:pt x="447" y="1300"/>
                </a:lnTo>
                <a:lnTo>
                  <a:pt x="446" y="1320"/>
                </a:lnTo>
                <a:lnTo>
                  <a:pt x="442" y="1339"/>
                </a:lnTo>
                <a:lnTo>
                  <a:pt x="433" y="1357"/>
                </a:lnTo>
                <a:lnTo>
                  <a:pt x="420" y="1373"/>
                </a:lnTo>
                <a:lnTo>
                  <a:pt x="390" y="1403"/>
                </a:lnTo>
                <a:lnTo>
                  <a:pt x="372" y="1418"/>
                </a:lnTo>
                <a:lnTo>
                  <a:pt x="352" y="1426"/>
                </a:lnTo>
                <a:lnTo>
                  <a:pt x="329" y="1431"/>
                </a:lnTo>
                <a:lnTo>
                  <a:pt x="308" y="1430"/>
                </a:lnTo>
                <a:lnTo>
                  <a:pt x="287" y="1424"/>
                </a:lnTo>
                <a:lnTo>
                  <a:pt x="267" y="1414"/>
                </a:lnTo>
                <a:lnTo>
                  <a:pt x="250" y="1398"/>
                </a:lnTo>
                <a:lnTo>
                  <a:pt x="214" y="1352"/>
                </a:lnTo>
                <a:lnTo>
                  <a:pt x="179" y="1303"/>
                </a:lnTo>
                <a:lnTo>
                  <a:pt x="141" y="1242"/>
                </a:lnTo>
                <a:lnTo>
                  <a:pt x="107" y="1179"/>
                </a:lnTo>
                <a:lnTo>
                  <a:pt x="78" y="1113"/>
                </a:lnTo>
                <a:lnTo>
                  <a:pt x="49" y="1036"/>
                </a:lnTo>
                <a:lnTo>
                  <a:pt x="28" y="958"/>
                </a:lnTo>
                <a:lnTo>
                  <a:pt x="12" y="878"/>
                </a:lnTo>
                <a:lnTo>
                  <a:pt x="3" y="797"/>
                </a:lnTo>
                <a:lnTo>
                  <a:pt x="0" y="715"/>
                </a:lnTo>
                <a:lnTo>
                  <a:pt x="3" y="634"/>
                </a:lnTo>
                <a:lnTo>
                  <a:pt x="12" y="553"/>
                </a:lnTo>
                <a:lnTo>
                  <a:pt x="28" y="473"/>
                </a:lnTo>
                <a:lnTo>
                  <a:pt x="49" y="395"/>
                </a:lnTo>
                <a:lnTo>
                  <a:pt x="78" y="318"/>
                </a:lnTo>
                <a:lnTo>
                  <a:pt x="105" y="256"/>
                </a:lnTo>
                <a:lnTo>
                  <a:pt x="136" y="197"/>
                </a:lnTo>
                <a:lnTo>
                  <a:pt x="170" y="140"/>
                </a:lnTo>
                <a:lnTo>
                  <a:pt x="209" y="86"/>
                </a:lnTo>
                <a:lnTo>
                  <a:pt x="250" y="33"/>
                </a:lnTo>
                <a:lnTo>
                  <a:pt x="267" y="17"/>
                </a:lnTo>
                <a:lnTo>
                  <a:pt x="287" y="7"/>
                </a:lnTo>
                <a:lnTo>
                  <a:pt x="308" y="1"/>
                </a:lnTo>
                <a:lnTo>
                  <a:pt x="32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0" name="Freeform 239">
            <a:extLst>
              <a:ext uri="{FF2B5EF4-FFF2-40B4-BE49-F238E27FC236}">
                <a16:creationId xmlns:a16="http://schemas.microsoft.com/office/drawing/2014/main" xmlns="" id="{00000000-0008-0000-0000-000079000000}"/>
              </a:ext>
            </a:extLst>
          </xdr:cNvPr>
          <xdr:cNvSpPr>
            <a:spLocks/>
          </xdr:cNvSpPr>
        </xdr:nvSpPr>
        <xdr:spPr bwMode="auto">
          <a:xfrm>
            <a:off x="1092200" y="1422400"/>
            <a:ext cx="107950" cy="382588"/>
          </a:xfrm>
          <a:custGeom>
            <a:avLst/>
            <a:gdLst>
              <a:gd name="T0" fmla="*/ 452 w 548"/>
              <a:gd name="T1" fmla="*/ 5 h 1922"/>
              <a:gd name="T2" fmla="*/ 490 w 548"/>
              <a:gd name="T3" fmla="*/ 29 h 1922"/>
              <a:gd name="T4" fmla="*/ 533 w 548"/>
              <a:gd name="T5" fmla="*/ 75 h 1922"/>
              <a:gd name="T6" fmla="*/ 547 w 548"/>
              <a:gd name="T7" fmla="*/ 112 h 1922"/>
              <a:gd name="T8" fmla="*/ 545 w 548"/>
              <a:gd name="T9" fmla="*/ 152 h 1922"/>
              <a:gd name="T10" fmla="*/ 525 w 548"/>
              <a:gd name="T11" fmla="*/ 187 h 1922"/>
              <a:gd name="T12" fmla="*/ 429 w 548"/>
              <a:gd name="T13" fmla="*/ 313 h 1922"/>
              <a:gd name="T14" fmla="*/ 350 w 548"/>
              <a:gd name="T15" fmla="*/ 448 h 1922"/>
              <a:gd name="T16" fmla="*/ 291 w 548"/>
              <a:gd name="T17" fmla="*/ 592 h 1922"/>
              <a:gd name="T18" fmla="*/ 253 w 548"/>
              <a:gd name="T19" fmla="*/ 737 h 1922"/>
              <a:gd name="T20" fmla="*/ 234 w 548"/>
              <a:gd name="T21" fmla="*/ 885 h 1922"/>
              <a:gd name="T22" fmla="*/ 234 w 548"/>
              <a:gd name="T23" fmla="*/ 1037 h 1922"/>
              <a:gd name="T24" fmla="*/ 253 w 548"/>
              <a:gd name="T25" fmla="*/ 1186 h 1922"/>
              <a:gd name="T26" fmla="*/ 291 w 548"/>
              <a:gd name="T27" fmla="*/ 1331 h 1922"/>
              <a:gd name="T28" fmla="*/ 349 w 548"/>
              <a:gd name="T29" fmla="*/ 1473 h 1922"/>
              <a:gd name="T30" fmla="*/ 426 w 548"/>
              <a:gd name="T31" fmla="*/ 1607 h 1922"/>
              <a:gd name="T32" fmla="*/ 521 w 548"/>
              <a:gd name="T33" fmla="*/ 1730 h 1922"/>
              <a:gd name="T34" fmla="*/ 524 w 548"/>
              <a:gd name="T35" fmla="*/ 1735 h 1922"/>
              <a:gd name="T36" fmla="*/ 544 w 548"/>
              <a:gd name="T37" fmla="*/ 1770 h 1922"/>
              <a:gd name="T38" fmla="*/ 547 w 548"/>
              <a:gd name="T39" fmla="*/ 1810 h 1922"/>
              <a:gd name="T40" fmla="*/ 533 w 548"/>
              <a:gd name="T41" fmla="*/ 1848 h 1922"/>
              <a:gd name="T42" fmla="*/ 490 w 548"/>
              <a:gd name="T43" fmla="*/ 1895 h 1922"/>
              <a:gd name="T44" fmla="*/ 452 w 548"/>
              <a:gd name="T45" fmla="*/ 1918 h 1922"/>
              <a:gd name="T46" fmla="*/ 410 w 548"/>
              <a:gd name="T47" fmla="*/ 1922 h 1922"/>
              <a:gd name="T48" fmla="*/ 369 w 548"/>
              <a:gd name="T49" fmla="*/ 1906 h 1922"/>
              <a:gd name="T50" fmla="*/ 301 w 548"/>
              <a:gd name="T51" fmla="*/ 1829 h 1922"/>
              <a:gd name="T52" fmla="*/ 211 w 548"/>
              <a:gd name="T53" fmla="*/ 1701 h 1922"/>
              <a:gd name="T54" fmla="*/ 134 w 548"/>
              <a:gd name="T55" fmla="*/ 1562 h 1922"/>
              <a:gd name="T56" fmla="*/ 71 w 548"/>
              <a:gd name="T57" fmla="*/ 1404 h 1922"/>
              <a:gd name="T58" fmla="*/ 25 w 548"/>
              <a:gd name="T59" fmla="*/ 1230 h 1922"/>
              <a:gd name="T60" fmla="*/ 2 w 548"/>
              <a:gd name="T61" fmla="*/ 1052 h 1922"/>
              <a:gd name="T62" fmla="*/ 2 w 548"/>
              <a:gd name="T63" fmla="*/ 871 h 1922"/>
              <a:gd name="T64" fmla="*/ 25 w 548"/>
              <a:gd name="T65" fmla="*/ 692 h 1922"/>
              <a:gd name="T66" fmla="*/ 71 w 548"/>
              <a:gd name="T67" fmla="*/ 518 h 1922"/>
              <a:gd name="T68" fmla="*/ 134 w 548"/>
              <a:gd name="T69" fmla="*/ 361 h 1922"/>
              <a:gd name="T70" fmla="*/ 211 w 548"/>
              <a:gd name="T71" fmla="*/ 222 h 1922"/>
              <a:gd name="T72" fmla="*/ 301 w 548"/>
              <a:gd name="T73" fmla="*/ 93 h 1922"/>
              <a:gd name="T74" fmla="*/ 369 w 548"/>
              <a:gd name="T75" fmla="*/ 17 h 1922"/>
              <a:gd name="T76" fmla="*/ 410 w 548"/>
              <a:gd name="T77" fmla="*/ 1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431" y="0"/>
                </a:moveTo>
                <a:lnTo>
                  <a:pt x="452" y="5"/>
                </a:lnTo>
                <a:lnTo>
                  <a:pt x="472" y="14"/>
                </a:lnTo>
                <a:lnTo>
                  <a:pt x="490" y="29"/>
                </a:lnTo>
                <a:lnTo>
                  <a:pt x="521" y="58"/>
                </a:lnTo>
                <a:lnTo>
                  <a:pt x="533" y="75"/>
                </a:lnTo>
                <a:lnTo>
                  <a:pt x="543" y="93"/>
                </a:lnTo>
                <a:lnTo>
                  <a:pt x="547" y="112"/>
                </a:lnTo>
                <a:lnTo>
                  <a:pt x="548" y="132"/>
                </a:lnTo>
                <a:lnTo>
                  <a:pt x="545" y="152"/>
                </a:lnTo>
                <a:lnTo>
                  <a:pt x="536" y="171"/>
                </a:lnTo>
                <a:lnTo>
                  <a:pt x="525" y="187"/>
                </a:lnTo>
                <a:lnTo>
                  <a:pt x="475" y="249"/>
                </a:lnTo>
                <a:lnTo>
                  <a:pt x="429" y="313"/>
                </a:lnTo>
                <a:lnTo>
                  <a:pt x="387" y="379"/>
                </a:lnTo>
                <a:lnTo>
                  <a:pt x="350" y="448"/>
                </a:lnTo>
                <a:lnTo>
                  <a:pt x="317" y="521"/>
                </a:lnTo>
                <a:lnTo>
                  <a:pt x="291" y="592"/>
                </a:lnTo>
                <a:lnTo>
                  <a:pt x="270" y="664"/>
                </a:lnTo>
                <a:lnTo>
                  <a:pt x="253" y="737"/>
                </a:lnTo>
                <a:lnTo>
                  <a:pt x="241" y="811"/>
                </a:lnTo>
                <a:lnTo>
                  <a:pt x="234" y="885"/>
                </a:lnTo>
                <a:lnTo>
                  <a:pt x="232" y="961"/>
                </a:lnTo>
                <a:lnTo>
                  <a:pt x="234" y="1037"/>
                </a:lnTo>
                <a:lnTo>
                  <a:pt x="241" y="1113"/>
                </a:lnTo>
                <a:lnTo>
                  <a:pt x="253" y="1186"/>
                </a:lnTo>
                <a:lnTo>
                  <a:pt x="270" y="1259"/>
                </a:lnTo>
                <a:lnTo>
                  <a:pt x="291" y="1331"/>
                </a:lnTo>
                <a:lnTo>
                  <a:pt x="317" y="1402"/>
                </a:lnTo>
                <a:lnTo>
                  <a:pt x="349" y="1473"/>
                </a:lnTo>
                <a:lnTo>
                  <a:pt x="386" y="1541"/>
                </a:lnTo>
                <a:lnTo>
                  <a:pt x="426" y="1607"/>
                </a:lnTo>
                <a:lnTo>
                  <a:pt x="471" y="1669"/>
                </a:lnTo>
                <a:lnTo>
                  <a:pt x="521" y="1730"/>
                </a:lnTo>
                <a:lnTo>
                  <a:pt x="522" y="1731"/>
                </a:lnTo>
                <a:lnTo>
                  <a:pt x="524" y="1735"/>
                </a:lnTo>
                <a:lnTo>
                  <a:pt x="536" y="1751"/>
                </a:lnTo>
                <a:lnTo>
                  <a:pt x="544" y="1770"/>
                </a:lnTo>
                <a:lnTo>
                  <a:pt x="548" y="1790"/>
                </a:lnTo>
                <a:lnTo>
                  <a:pt x="547" y="1810"/>
                </a:lnTo>
                <a:lnTo>
                  <a:pt x="543" y="1829"/>
                </a:lnTo>
                <a:lnTo>
                  <a:pt x="533" y="1848"/>
                </a:lnTo>
                <a:lnTo>
                  <a:pt x="521" y="1864"/>
                </a:lnTo>
                <a:lnTo>
                  <a:pt x="490" y="1895"/>
                </a:lnTo>
                <a:lnTo>
                  <a:pt x="472" y="1909"/>
                </a:lnTo>
                <a:lnTo>
                  <a:pt x="452" y="1918"/>
                </a:lnTo>
                <a:lnTo>
                  <a:pt x="431" y="1922"/>
                </a:lnTo>
                <a:lnTo>
                  <a:pt x="410" y="1922"/>
                </a:lnTo>
                <a:lnTo>
                  <a:pt x="389" y="1916"/>
                </a:lnTo>
                <a:lnTo>
                  <a:pt x="369" y="1906"/>
                </a:lnTo>
                <a:lnTo>
                  <a:pt x="352" y="1890"/>
                </a:lnTo>
                <a:lnTo>
                  <a:pt x="301" y="1829"/>
                </a:lnTo>
                <a:lnTo>
                  <a:pt x="254" y="1766"/>
                </a:lnTo>
                <a:lnTo>
                  <a:pt x="211" y="1701"/>
                </a:lnTo>
                <a:lnTo>
                  <a:pt x="171" y="1632"/>
                </a:lnTo>
                <a:lnTo>
                  <a:pt x="134" y="1562"/>
                </a:lnTo>
                <a:lnTo>
                  <a:pt x="102" y="1489"/>
                </a:lnTo>
                <a:lnTo>
                  <a:pt x="71" y="1404"/>
                </a:lnTo>
                <a:lnTo>
                  <a:pt x="45" y="1318"/>
                </a:lnTo>
                <a:lnTo>
                  <a:pt x="25" y="1230"/>
                </a:lnTo>
                <a:lnTo>
                  <a:pt x="12" y="1142"/>
                </a:lnTo>
                <a:lnTo>
                  <a:pt x="2" y="1052"/>
                </a:lnTo>
                <a:lnTo>
                  <a:pt x="0" y="961"/>
                </a:lnTo>
                <a:lnTo>
                  <a:pt x="2" y="871"/>
                </a:lnTo>
                <a:lnTo>
                  <a:pt x="12" y="781"/>
                </a:lnTo>
                <a:lnTo>
                  <a:pt x="25" y="692"/>
                </a:lnTo>
                <a:lnTo>
                  <a:pt x="45" y="604"/>
                </a:lnTo>
                <a:lnTo>
                  <a:pt x="71" y="518"/>
                </a:lnTo>
                <a:lnTo>
                  <a:pt x="102" y="434"/>
                </a:lnTo>
                <a:lnTo>
                  <a:pt x="134" y="361"/>
                </a:lnTo>
                <a:lnTo>
                  <a:pt x="171" y="291"/>
                </a:lnTo>
                <a:lnTo>
                  <a:pt x="211" y="222"/>
                </a:lnTo>
                <a:lnTo>
                  <a:pt x="254" y="156"/>
                </a:lnTo>
                <a:lnTo>
                  <a:pt x="301" y="93"/>
                </a:lnTo>
                <a:lnTo>
                  <a:pt x="352" y="32"/>
                </a:lnTo>
                <a:lnTo>
                  <a:pt x="369" y="17"/>
                </a:lnTo>
                <a:lnTo>
                  <a:pt x="389" y="6"/>
                </a:lnTo>
                <a:lnTo>
                  <a:pt x="410" y="1"/>
                </a:lnTo>
                <a:lnTo>
                  <a:pt x="43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1" name="Freeform 240">
            <a:extLst>
              <a:ext uri="{FF2B5EF4-FFF2-40B4-BE49-F238E27FC236}">
                <a16:creationId xmlns:a16="http://schemas.microsoft.com/office/drawing/2014/main" xmlns="" id="{00000000-0008-0000-0000-00007A000000}"/>
              </a:ext>
            </a:extLst>
          </xdr:cNvPr>
          <xdr:cNvSpPr>
            <a:spLocks/>
          </xdr:cNvSpPr>
        </xdr:nvSpPr>
        <xdr:spPr bwMode="auto">
          <a:xfrm>
            <a:off x="1231900" y="1522413"/>
            <a:ext cx="68263" cy="182563"/>
          </a:xfrm>
          <a:custGeom>
            <a:avLst/>
            <a:gdLst>
              <a:gd name="T0" fmla="*/ 213 w 348"/>
              <a:gd name="T1" fmla="*/ 0 h 923"/>
              <a:gd name="T2" fmla="*/ 232 w 348"/>
              <a:gd name="T3" fmla="*/ 1 h 923"/>
              <a:gd name="T4" fmla="*/ 252 w 348"/>
              <a:gd name="T5" fmla="*/ 5 h 923"/>
              <a:gd name="T6" fmla="*/ 270 w 348"/>
              <a:gd name="T7" fmla="*/ 15 h 923"/>
              <a:gd name="T8" fmla="*/ 286 w 348"/>
              <a:gd name="T9" fmla="*/ 27 h 923"/>
              <a:gd name="T10" fmla="*/ 317 w 348"/>
              <a:gd name="T11" fmla="*/ 58 h 923"/>
              <a:gd name="T12" fmla="*/ 332 w 348"/>
              <a:gd name="T13" fmla="*/ 77 h 923"/>
              <a:gd name="T14" fmla="*/ 341 w 348"/>
              <a:gd name="T15" fmla="*/ 97 h 923"/>
              <a:gd name="T16" fmla="*/ 345 w 348"/>
              <a:gd name="T17" fmla="*/ 119 h 923"/>
              <a:gd name="T18" fmla="*/ 344 w 348"/>
              <a:gd name="T19" fmla="*/ 141 h 923"/>
              <a:gd name="T20" fmla="*/ 338 w 348"/>
              <a:gd name="T21" fmla="*/ 162 h 923"/>
              <a:gd name="T22" fmla="*/ 327 w 348"/>
              <a:gd name="T23" fmla="*/ 182 h 923"/>
              <a:gd name="T24" fmla="*/ 298 w 348"/>
              <a:gd name="T25" fmla="*/ 224 h 923"/>
              <a:gd name="T26" fmla="*/ 274 w 348"/>
              <a:gd name="T27" fmla="*/ 268 h 923"/>
              <a:gd name="T28" fmla="*/ 256 w 348"/>
              <a:gd name="T29" fmla="*/ 314 h 923"/>
              <a:gd name="T30" fmla="*/ 242 w 348"/>
              <a:gd name="T31" fmla="*/ 362 h 923"/>
              <a:gd name="T32" fmla="*/ 234 w 348"/>
              <a:gd name="T33" fmla="*/ 412 h 923"/>
              <a:gd name="T34" fmla="*/ 232 w 348"/>
              <a:gd name="T35" fmla="*/ 462 h 923"/>
              <a:gd name="T36" fmla="*/ 234 w 348"/>
              <a:gd name="T37" fmla="*/ 501 h 923"/>
              <a:gd name="T38" fmla="*/ 237 w 348"/>
              <a:gd name="T39" fmla="*/ 537 h 923"/>
              <a:gd name="T40" fmla="*/ 242 w 348"/>
              <a:gd name="T41" fmla="*/ 568 h 923"/>
              <a:gd name="T42" fmla="*/ 251 w 348"/>
              <a:gd name="T43" fmla="*/ 599 h 923"/>
              <a:gd name="T44" fmla="*/ 261 w 348"/>
              <a:gd name="T45" fmla="*/ 627 h 923"/>
              <a:gd name="T46" fmla="*/ 275 w 348"/>
              <a:gd name="T47" fmla="*/ 656 h 923"/>
              <a:gd name="T48" fmla="*/ 292 w 348"/>
              <a:gd name="T49" fmla="*/ 685 h 923"/>
              <a:gd name="T50" fmla="*/ 312 w 348"/>
              <a:gd name="T51" fmla="*/ 717 h 923"/>
              <a:gd name="T52" fmla="*/ 329 w 348"/>
              <a:gd name="T53" fmla="*/ 739 h 923"/>
              <a:gd name="T54" fmla="*/ 340 w 348"/>
              <a:gd name="T55" fmla="*/ 759 h 923"/>
              <a:gd name="T56" fmla="*/ 347 w 348"/>
              <a:gd name="T57" fmla="*/ 781 h 923"/>
              <a:gd name="T58" fmla="*/ 348 w 348"/>
              <a:gd name="T59" fmla="*/ 803 h 923"/>
              <a:gd name="T60" fmla="*/ 343 w 348"/>
              <a:gd name="T61" fmla="*/ 824 h 923"/>
              <a:gd name="T62" fmla="*/ 334 w 348"/>
              <a:gd name="T63" fmla="*/ 845 h 923"/>
              <a:gd name="T64" fmla="*/ 319 w 348"/>
              <a:gd name="T65" fmla="*/ 863 h 923"/>
              <a:gd name="T66" fmla="*/ 288 w 348"/>
              <a:gd name="T67" fmla="*/ 896 h 923"/>
              <a:gd name="T68" fmla="*/ 271 w 348"/>
              <a:gd name="T69" fmla="*/ 908 h 923"/>
              <a:gd name="T70" fmla="*/ 253 w 348"/>
              <a:gd name="T71" fmla="*/ 918 h 923"/>
              <a:gd name="T72" fmla="*/ 234 w 348"/>
              <a:gd name="T73" fmla="*/ 922 h 923"/>
              <a:gd name="T74" fmla="*/ 214 w 348"/>
              <a:gd name="T75" fmla="*/ 923 h 923"/>
              <a:gd name="T76" fmla="*/ 195 w 348"/>
              <a:gd name="T77" fmla="*/ 920 h 923"/>
              <a:gd name="T78" fmla="*/ 176 w 348"/>
              <a:gd name="T79" fmla="*/ 913 h 923"/>
              <a:gd name="T80" fmla="*/ 159 w 348"/>
              <a:gd name="T81" fmla="*/ 901 h 923"/>
              <a:gd name="T82" fmla="*/ 145 w 348"/>
              <a:gd name="T83" fmla="*/ 886 h 923"/>
              <a:gd name="T84" fmla="*/ 118 w 348"/>
              <a:gd name="T85" fmla="*/ 848 h 923"/>
              <a:gd name="T86" fmla="*/ 93 w 348"/>
              <a:gd name="T87" fmla="*/ 808 h 923"/>
              <a:gd name="T88" fmla="*/ 70 w 348"/>
              <a:gd name="T89" fmla="*/ 767 h 923"/>
              <a:gd name="T90" fmla="*/ 51 w 348"/>
              <a:gd name="T91" fmla="*/ 725 h 923"/>
              <a:gd name="T92" fmla="*/ 29 w 348"/>
              <a:gd name="T93" fmla="*/ 661 h 923"/>
              <a:gd name="T94" fmla="*/ 13 w 348"/>
              <a:gd name="T95" fmla="*/ 596 h 923"/>
              <a:gd name="T96" fmla="*/ 3 w 348"/>
              <a:gd name="T97" fmla="*/ 529 h 923"/>
              <a:gd name="T98" fmla="*/ 0 w 348"/>
              <a:gd name="T99" fmla="*/ 462 h 923"/>
              <a:gd name="T100" fmla="*/ 3 w 348"/>
              <a:gd name="T101" fmla="*/ 400 h 923"/>
              <a:gd name="T102" fmla="*/ 10 w 348"/>
              <a:gd name="T103" fmla="*/ 339 h 923"/>
              <a:gd name="T104" fmla="*/ 23 w 348"/>
              <a:gd name="T105" fmla="*/ 280 h 923"/>
              <a:gd name="T106" fmla="*/ 42 w 348"/>
              <a:gd name="T107" fmla="*/ 223 h 923"/>
              <a:gd name="T108" fmla="*/ 65 w 348"/>
              <a:gd name="T109" fmla="*/ 167 h 923"/>
              <a:gd name="T110" fmla="*/ 95 w 348"/>
              <a:gd name="T111" fmla="*/ 113 h 923"/>
              <a:gd name="T112" fmla="*/ 112 w 348"/>
              <a:gd name="T113" fmla="*/ 84 h 923"/>
              <a:gd name="T114" fmla="*/ 128 w 348"/>
              <a:gd name="T115" fmla="*/ 60 h 923"/>
              <a:gd name="T116" fmla="*/ 143 w 348"/>
              <a:gd name="T117" fmla="*/ 38 h 923"/>
              <a:gd name="T118" fmla="*/ 158 w 348"/>
              <a:gd name="T119" fmla="*/ 23 h 923"/>
              <a:gd name="T120" fmla="*/ 175 w 348"/>
              <a:gd name="T121" fmla="*/ 12 h 923"/>
              <a:gd name="T122" fmla="*/ 193 w 348"/>
              <a:gd name="T123" fmla="*/ 3 h 923"/>
              <a:gd name="T124" fmla="*/ 213 w 348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8" h="923">
                <a:moveTo>
                  <a:pt x="213" y="0"/>
                </a:moveTo>
                <a:lnTo>
                  <a:pt x="232" y="1"/>
                </a:lnTo>
                <a:lnTo>
                  <a:pt x="252" y="5"/>
                </a:lnTo>
                <a:lnTo>
                  <a:pt x="270" y="15"/>
                </a:lnTo>
                <a:lnTo>
                  <a:pt x="286" y="27"/>
                </a:lnTo>
                <a:lnTo>
                  <a:pt x="317" y="58"/>
                </a:lnTo>
                <a:lnTo>
                  <a:pt x="332" y="77"/>
                </a:lnTo>
                <a:lnTo>
                  <a:pt x="341" y="97"/>
                </a:lnTo>
                <a:lnTo>
                  <a:pt x="345" y="119"/>
                </a:lnTo>
                <a:lnTo>
                  <a:pt x="344" y="141"/>
                </a:lnTo>
                <a:lnTo>
                  <a:pt x="338" y="162"/>
                </a:lnTo>
                <a:lnTo>
                  <a:pt x="327" y="182"/>
                </a:lnTo>
                <a:lnTo>
                  <a:pt x="298" y="224"/>
                </a:lnTo>
                <a:lnTo>
                  <a:pt x="274" y="268"/>
                </a:lnTo>
                <a:lnTo>
                  <a:pt x="256" y="314"/>
                </a:lnTo>
                <a:lnTo>
                  <a:pt x="242" y="362"/>
                </a:lnTo>
                <a:lnTo>
                  <a:pt x="234" y="412"/>
                </a:lnTo>
                <a:lnTo>
                  <a:pt x="232" y="462"/>
                </a:lnTo>
                <a:lnTo>
                  <a:pt x="234" y="501"/>
                </a:lnTo>
                <a:lnTo>
                  <a:pt x="237" y="537"/>
                </a:lnTo>
                <a:lnTo>
                  <a:pt x="242" y="568"/>
                </a:lnTo>
                <a:lnTo>
                  <a:pt x="251" y="599"/>
                </a:lnTo>
                <a:lnTo>
                  <a:pt x="261" y="627"/>
                </a:lnTo>
                <a:lnTo>
                  <a:pt x="275" y="656"/>
                </a:lnTo>
                <a:lnTo>
                  <a:pt x="292" y="685"/>
                </a:lnTo>
                <a:lnTo>
                  <a:pt x="312" y="717"/>
                </a:lnTo>
                <a:lnTo>
                  <a:pt x="329" y="739"/>
                </a:lnTo>
                <a:lnTo>
                  <a:pt x="340" y="759"/>
                </a:lnTo>
                <a:lnTo>
                  <a:pt x="347" y="781"/>
                </a:lnTo>
                <a:lnTo>
                  <a:pt x="348" y="803"/>
                </a:lnTo>
                <a:lnTo>
                  <a:pt x="343" y="824"/>
                </a:lnTo>
                <a:lnTo>
                  <a:pt x="334" y="845"/>
                </a:lnTo>
                <a:lnTo>
                  <a:pt x="319" y="863"/>
                </a:lnTo>
                <a:lnTo>
                  <a:pt x="288" y="896"/>
                </a:lnTo>
                <a:lnTo>
                  <a:pt x="271" y="908"/>
                </a:lnTo>
                <a:lnTo>
                  <a:pt x="253" y="918"/>
                </a:lnTo>
                <a:lnTo>
                  <a:pt x="234" y="922"/>
                </a:lnTo>
                <a:lnTo>
                  <a:pt x="214" y="923"/>
                </a:lnTo>
                <a:lnTo>
                  <a:pt x="195" y="920"/>
                </a:lnTo>
                <a:lnTo>
                  <a:pt x="176" y="913"/>
                </a:lnTo>
                <a:lnTo>
                  <a:pt x="159" y="901"/>
                </a:lnTo>
                <a:lnTo>
                  <a:pt x="145" y="886"/>
                </a:lnTo>
                <a:lnTo>
                  <a:pt x="118" y="848"/>
                </a:lnTo>
                <a:lnTo>
                  <a:pt x="93" y="808"/>
                </a:lnTo>
                <a:lnTo>
                  <a:pt x="70" y="767"/>
                </a:lnTo>
                <a:lnTo>
                  <a:pt x="51" y="725"/>
                </a:lnTo>
                <a:lnTo>
                  <a:pt x="29" y="661"/>
                </a:lnTo>
                <a:lnTo>
                  <a:pt x="13" y="596"/>
                </a:lnTo>
                <a:lnTo>
                  <a:pt x="3" y="529"/>
                </a:lnTo>
                <a:lnTo>
                  <a:pt x="0" y="462"/>
                </a:lnTo>
                <a:lnTo>
                  <a:pt x="3" y="400"/>
                </a:lnTo>
                <a:lnTo>
                  <a:pt x="10" y="339"/>
                </a:lnTo>
                <a:lnTo>
                  <a:pt x="23" y="280"/>
                </a:lnTo>
                <a:lnTo>
                  <a:pt x="42" y="223"/>
                </a:lnTo>
                <a:lnTo>
                  <a:pt x="65" y="167"/>
                </a:lnTo>
                <a:lnTo>
                  <a:pt x="95" y="113"/>
                </a:lnTo>
                <a:lnTo>
                  <a:pt x="112" y="84"/>
                </a:lnTo>
                <a:lnTo>
                  <a:pt x="128" y="60"/>
                </a:lnTo>
                <a:lnTo>
                  <a:pt x="143" y="38"/>
                </a:lnTo>
                <a:lnTo>
                  <a:pt x="158" y="23"/>
                </a:lnTo>
                <a:lnTo>
                  <a:pt x="175" y="12"/>
                </a:lnTo>
                <a:lnTo>
                  <a:pt x="193" y="3"/>
                </a:lnTo>
                <a:lnTo>
                  <a:pt x="21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2" name="Freeform 241">
            <a:extLst>
              <a:ext uri="{FF2B5EF4-FFF2-40B4-BE49-F238E27FC236}">
                <a16:creationId xmlns:a16="http://schemas.microsoft.com/office/drawing/2014/main" xmlns="" id="{00000000-0008-0000-0000-00007B000000}"/>
              </a:ext>
            </a:extLst>
          </xdr:cNvPr>
          <xdr:cNvSpPr>
            <a:spLocks/>
          </xdr:cNvSpPr>
        </xdr:nvSpPr>
        <xdr:spPr bwMode="auto">
          <a:xfrm>
            <a:off x="1557338" y="1471613"/>
            <a:ext cx="88900" cy="284163"/>
          </a:xfrm>
          <a:custGeom>
            <a:avLst/>
            <a:gdLst>
              <a:gd name="T0" fmla="*/ 141 w 448"/>
              <a:gd name="T1" fmla="*/ 1 h 1432"/>
              <a:gd name="T2" fmla="*/ 181 w 448"/>
              <a:gd name="T3" fmla="*/ 18 h 1432"/>
              <a:gd name="T4" fmla="*/ 239 w 448"/>
              <a:gd name="T5" fmla="*/ 87 h 1432"/>
              <a:gd name="T6" fmla="*/ 312 w 448"/>
              <a:gd name="T7" fmla="*/ 198 h 1432"/>
              <a:gd name="T8" fmla="*/ 371 w 448"/>
              <a:gd name="T9" fmla="*/ 318 h 1432"/>
              <a:gd name="T10" fmla="*/ 420 w 448"/>
              <a:gd name="T11" fmla="*/ 474 h 1432"/>
              <a:gd name="T12" fmla="*/ 445 w 448"/>
              <a:gd name="T13" fmla="*/ 634 h 1432"/>
              <a:gd name="T14" fmla="*/ 445 w 448"/>
              <a:gd name="T15" fmla="*/ 797 h 1432"/>
              <a:gd name="T16" fmla="*/ 420 w 448"/>
              <a:gd name="T17" fmla="*/ 958 h 1432"/>
              <a:gd name="T18" fmla="*/ 371 w 448"/>
              <a:gd name="T19" fmla="*/ 1113 h 1432"/>
              <a:gd name="T20" fmla="*/ 307 w 448"/>
              <a:gd name="T21" fmla="*/ 1242 h 1432"/>
              <a:gd name="T22" fmla="*/ 235 w 448"/>
              <a:gd name="T23" fmla="*/ 1353 h 1432"/>
              <a:gd name="T24" fmla="*/ 181 w 448"/>
              <a:gd name="T25" fmla="*/ 1415 h 1432"/>
              <a:gd name="T26" fmla="*/ 140 w 448"/>
              <a:gd name="T27" fmla="*/ 1431 h 1432"/>
              <a:gd name="T28" fmla="*/ 97 w 448"/>
              <a:gd name="T29" fmla="*/ 1428 h 1432"/>
              <a:gd name="T30" fmla="*/ 58 w 448"/>
              <a:gd name="T31" fmla="*/ 1404 h 1432"/>
              <a:gd name="T32" fmla="*/ 15 w 448"/>
              <a:gd name="T33" fmla="*/ 1357 h 1432"/>
              <a:gd name="T34" fmla="*/ 2 w 448"/>
              <a:gd name="T35" fmla="*/ 1320 h 1432"/>
              <a:gd name="T36" fmla="*/ 4 w 448"/>
              <a:gd name="T37" fmla="*/ 1281 h 1432"/>
              <a:gd name="T38" fmla="*/ 23 w 448"/>
              <a:gd name="T39" fmla="*/ 1245 h 1432"/>
              <a:gd name="T40" fmla="*/ 88 w 448"/>
              <a:gd name="T41" fmla="*/ 1159 h 1432"/>
              <a:gd name="T42" fmla="*/ 142 w 448"/>
              <a:gd name="T43" fmla="*/ 1058 h 1432"/>
              <a:gd name="T44" fmla="*/ 184 w 448"/>
              <a:gd name="T45" fmla="*/ 946 h 1432"/>
              <a:gd name="T46" fmla="*/ 208 w 448"/>
              <a:gd name="T47" fmla="*/ 830 h 1432"/>
              <a:gd name="T48" fmla="*/ 216 w 448"/>
              <a:gd name="T49" fmla="*/ 712 h 1432"/>
              <a:gd name="T50" fmla="*/ 207 w 448"/>
              <a:gd name="T51" fmla="*/ 593 h 1432"/>
              <a:gd name="T52" fmla="*/ 182 w 448"/>
              <a:gd name="T53" fmla="*/ 477 h 1432"/>
              <a:gd name="T54" fmla="*/ 139 w 448"/>
              <a:gd name="T55" fmla="*/ 365 h 1432"/>
              <a:gd name="T56" fmla="*/ 78 w 448"/>
              <a:gd name="T57" fmla="*/ 259 h 1432"/>
              <a:gd name="T58" fmla="*/ 38 w 448"/>
              <a:gd name="T59" fmla="*/ 204 h 1432"/>
              <a:gd name="T60" fmla="*/ 25 w 448"/>
              <a:gd name="T61" fmla="*/ 188 h 1432"/>
              <a:gd name="T62" fmla="*/ 5 w 448"/>
              <a:gd name="T63" fmla="*/ 152 h 1432"/>
              <a:gd name="T64" fmla="*/ 2 w 448"/>
              <a:gd name="T65" fmla="*/ 112 h 1432"/>
              <a:gd name="T66" fmla="*/ 15 w 448"/>
              <a:gd name="T67" fmla="*/ 75 h 1432"/>
              <a:gd name="T68" fmla="*/ 58 w 448"/>
              <a:gd name="T69" fmla="*/ 28 h 1432"/>
              <a:gd name="T70" fmla="*/ 96 w 448"/>
              <a:gd name="T71" fmla="*/ 5 h 1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8" h="1432">
                <a:moveTo>
                  <a:pt x="118" y="0"/>
                </a:moveTo>
                <a:lnTo>
                  <a:pt x="141" y="1"/>
                </a:lnTo>
                <a:lnTo>
                  <a:pt x="162" y="8"/>
                </a:lnTo>
                <a:lnTo>
                  <a:pt x="181" y="18"/>
                </a:lnTo>
                <a:lnTo>
                  <a:pt x="198" y="34"/>
                </a:lnTo>
                <a:lnTo>
                  <a:pt x="239" y="87"/>
                </a:lnTo>
                <a:lnTo>
                  <a:pt x="278" y="140"/>
                </a:lnTo>
                <a:lnTo>
                  <a:pt x="312" y="198"/>
                </a:lnTo>
                <a:lnTo>
                  <a:pt x="344" y="257"/>
                </a:lnTo>
                <a:lnTo>
                  <a:pt x="371" y="318"/>
                </a:lnTo>
                <a:lnTo>
                  <a:pt x="399" y="395"/>
                </a:lnTo>
                <a:lnTo>
                  <a:pt x="420" y="474"/>
                </a:lnTo>
                <a:lnTo>
                  <a:pt x="436" y="553"/>
                </a:lnTo>
                <a:lnTo>
                  <a:pt x="445" y="634"/>
                </a:lnTo>
                <a:lnTo>
                  <a:pt x="448" y="716"/>
                </a:lnTo>
                <a:lnTo>
                  <a:pt x="445" y="797"/>
                </a:lnTo>
                <a:lnTo>
                  <a:pt x="436" y="878"/>
                </a:lnTo>
                <a:lnTo>
                  <a:pt x="420" y="958"/>
                </a:lnTo>
                <a:lnTo>
                  <a:pt x="399" y="1036"/>
                </a:lnTo>
                <a:lnTo>
                  <a:pt x="371" y="1113"/>
                </a:lnTo>
                <a:lnTo>
                  <a:pt x="342" y="1179"/>
                </a:lnTo>
                <a:lnTo>
                  <a:pt x="307" y="1242"/>
                </a:lnTo>
                <a:lnTo>
                  <a:pt x="269" y="1304"/>
                </a:lnTo>
                <a:lnTo>
                  <a:pt x="235" y="1353"/>
                </a:lnTo>
                <a:lnTo>
                  <a:pt x="198" y="1399"/>
                </a:lnTo>
                <a:lnTo>
                  <a:pt x="181" y="1415"/>
                </a:lnTo>
                <a:lnTo>
                  <a:pt x="161" y="1425"/>
                </a:lnTo>
                <a:lnTo>
                  <a:pt x="140" y="1431"/>
                </a:lnTo>
                <a:lnTo>
                  <a:pt x="118" y="1432"/>
                </a:lnTo>
                <a:lnTo>
                  <a:pt x="97" y="1428"/>
                </a:lnTo>
                <a:lnTo>
                  <a:pt x="76" y="1418"/>
                </a:lnTo>
                <a:lnTo>
                  <a:pt x="58" y="1404"/>
                </a:lnTo>
                <a:lnTo>
                  <a:pt x="28" y="1374"/>
                </a:lnTo>
                <a:lnTo>
                  <a:pt x="15" y="1357"/>
                </a:lnTo>
                <a:lnTo>
                  <a:pt x="6" y="1339"/>
                </a:lnTo>
                <a:lnTo>
                  <a:pt x="2" y="1320"/>
                </a:lnTo>
                <a:lnTo>
                  <a:pt x="0" y="1301"/>
                </a:lnTo>
                <a:lnTo>
                  <a:pt x="4" y="1281"/>
                </a:lnTo>
                <a:lnTo>
                  <a:pt x="11" y="1262"/>
                </a:lnTo>
                <a:lnTo>
                  <a:pt x="23" y="1245"/>
                </a:lnTo>
                <a:lnTo>
                  <a:pt x="56" y="1203"/>
                </a:lnTo>
                <a:lnTo>
                  <a:pt x="88" y="1159"/>
                </a:lnTo>
                <a:lnTo>
                  <a:pt x="115" y="1112"/>
                </a:lnTo>
                <a:lnTo>
                  <a:pt x="142" y="1058"/>
                </a:lnTo>
                <a:lnTo>
                  <a:pt x="165" y="1002"/>
                </a:lnTo>
                <a:lnTo>
                  <a:pt x="184" y="946"/>
                </a:lnTo>
                <a:lnTo>
                  <a:pt x="199" y="888"/>
                </a:lnTo>
                <a:lnTo>
                  <a:pt x="208" y="830"/>
                </a:lnTo>
                <a:lnTo>
                  <a:pt x="214" y="771"/>
                </a:lnTo>
                <a:lnTo>
                  <a:pt x="216" y="712"/>
                </a:lnTo>
                <a:lnTo>
                  <a:pt x="213" y="652"/>
                </a:lnTo>
                <a:lnTo>
                  <a:pt x="207" y="593"/>
                </a:lnTo>
                <a:lnTo>
                  <a:pt x="196" y="535"/>
                </a:lnTo>
                <a:lnTo>
                  <a:pt x="182" y="477"/>
                </a:lnTo>
                <a:lnTo>
                  <a:pt x="162" y="421"/>
                </a:lnTo>
                <a:lnTo>
                  <a:pt x="139" y="365"/>
                </a:lnTo>
                <a:lnTo>
                  <a:pt x="110" y="311"/>
                </a:lnTo>
                <a:lnTo>
                  <a:pt x="78" y="259"/>
                </a:lnTo>
                <a:lnTo>
                  <a:pt x="43" y="210"/>
                </a:lnTo>
                <a:lnTo>
                  <a:pt x="38" y="204"/>
                </a:lnTo>
                <a:lnTo>
                  <a:pt x="32" y="196"/>
                </a:lnTo>
                <a:lnTo>
                  <a:pt x="25" y="188"/>
                </a:lnTo>
                <a:lnTo>
                  <a:pt x="12" y="171"/>
                </a:lnTo>
                <a:lnTo>
                  <a:pt x="5" y="152"/>
                </a:lnTo>
                <a:lnTo>
                  <a:pt x="0" y="132"/>
                </a:lnTo>
                <a:lnTo>
                  <a:pt x="2" y="112"/>
                </a:lnTo>
                <a:lnTo>
                  <a:pt x="6" y="93"/>
                </a:lnTo>
                <a:lnTo>
                  <a:pt x="15" y="75"/>
                </a:lnTo>
                <a:lnTo>
                  <a:pt x="28" y="58"/>
                </a:lnTo>
                <a:lnTo>
                  <a:pt x="58" y="28"/>
                </a:lnTo>
                <a:lnTo>
                  <a:pt x="76" y="14"/>
                </a:lnTo>
                <a:lnTo>
                  <a:pt x="96" y="5"/>
                </a:lnTo>
                <a:lnTo>
                  <a:pt x="11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3" name="Freeform 242">
            <a:extLst>
              <a:ext uri="{FF2B5EF4-FFF2-40B4-BE49-F238E27FC236}">
                <a16:creationId xmlns:a16="http://schemas.microsoft.com/office/drawing/2014/main" xmlns="" id="{00000000-0008-0000-0000-00007C000000}"/>
              </a:ext>
            </a:extLst>
          </xdr:cNvPr>
          <xdr:cNvSpPr>
            <a:spLocks/>
          </xdr:cNvSpPr>
        </xdr:nvSpPr>
        <xdr:spPr bwMode="auto">
          <a:xfrm>
            <a:off x="1604963" y="1423988"/>
            <a:ext cx="109538" cy="381000"/>
          </a:xfrm>
          <a:custGeom>
            <a:avLst/>
            <a:gdLst>
              <a:gd name="T0" fmla="*/ 138 w 548"/>
              <a:gd name="T1" fmla="*/ 1 h 1922"/>
              <a:gd name="T2" fmla="*/ 178 w 548"/>
              <a:gd name="T3" fmla="*/ 17 h 1922"/>
              <a:gd name="T4" fmla="*/ 247 w 548"/>
              <a:gd name="T5" fmla="*/ 93 h 1922"/>
              <a:gd name="T6" fmla="*/ 337 w 548"/>
              <a:gd name="T7" fmla="*/ 222 h 1922"/>
              <a:gd name="T8" fmla="*/ 413 w 548"/>
              <a:gd name="T9" fmla="*/ 360 h 1922"/>
              <a:gd name="T10" fmla="*/ 476 w 548"/>
              <a:gd name="T11" fmla="*/ 518 h 1922"/>
              <a:gd name="T12" fmla="*/ 523 w 548"/>
              <a:gd name="T13" fmla="*/ 692 h 1922"/>
              <a:gd name="T14" fmla="*/ 545 w 548"/>
              <a:gd name="T15" fmla="*/ 871 h 1922"/>
              <a:gd name="T16" fmla="*/ 545 w 548"/>
              <a:gd name="T17" fmla="*/ 1052 h 1922"/>
              <a:gd name="T18" fmla="*/ 523 w 548"/>
              <a:gd name="T19" fmla="*/ 1229 h 1922"/>
              <a:gd name="T20" fmla="*/ 476 w 548"/>
              <a:gd name="T21" fmla="*/ 1403 h 1922"/>
              <a:gd name="T22" fmla="*/ 413 w 548"/>
              <a:gd name="T23" fmla="*/ 1561 h 1922"/>
              <a:gd name="T24" fmla="*/ 337 w 548"/>
              <a:gd name="T25" fmla="*/ 1700 h 1922"/>
              <a:gd name="T26" fmla="*/ 247 w 548"/>
              <a:gd name="T27" fmla="*/ 1829 h 1922"/>
              <a:gd name="T28" fmla="*/ 179 w 548"/>
              <a:gd name="T29" fmla="*/ 1905 h 1922"/>
              <a:gd name="T30" fmla="*/ 138 w 548"/>
              <a:gd name="T31" fmla="*/ 1921 h 1922"/>
              <a:gd name="T32" fmla="*/ 96 w 548"/>
              <a:gd name="T33" fmla="*/ 1918 h 1922"/>
              <a:gd name="T34" fmla="*/ 58 w 548"/>
              <a:gd name="T35" fmla="*/ 1895 h 1922"/>
              <a:gd name="T36" fmla="*/ 15 w 548"/>
              <a:gd name="T37" fmla="*/ 1847 h 1922"/>
              <a:gd name="T38" fmla="*/ 1 w 548"/>
              <a:gd name="T39" fmla="*/ 1809 h 1922"/>
              <a:gd name="T40" fmla="*/ 4 w 548"/>
              <a:gd name="T41" fmla="*/ 1770 h 1922"/>
              <a:gd name="T42" fmla="*/ 24 w 548"/>
              <a:gd name="T43" fmla="*/ 1735 h 1922"/>
              <a:gd name="T44" fmla="*/ 27 w 548"/>
              <a:gd name="T45" fmla="*/ 1729 h 1922"/>
              <a:gd name="T46" fmla="*/ 121 w 548"/>
              <a:gd name="T47" fmla="*/ 1607 h 1922"/>
              <a:gd name="T48" fmla="*/ 199 w 548"/>
              <a:gd name="T49" fmla="*/ 1473 h 1922"/>
              <a:gd name="T50" fmla="*/ 256 w 548"/>
              <a:gd name="T51" fmla="*/ 1330 h 1922"/>
              <a:gd name="T52" fmla="*/ 295 w 548"/>
              <a:gd name="T53" fmla="*/ 1185 h 1922"/>
              <a:gd name="T54" fmla="*/ 314 w 548"/>
              <a:gd name="T55" fmla="*/ 1037 h 1922"/>
              <a:gd name="T56" fmla="*/ 314 w 548"/>
              <a:gd name="T57" fmla="*/ 885 h 1922"/>
              <a:gd name="T58" fmla="*/ 295 w 548"/>
              <a:gd name="T59" fmla="*/ 737 h 1922"/>
              <a:gd name="T60" fmla="*/ 256 w 548"/>
              <a:gd name="T61" fmla="*/ 592 h 1922"/>
              <a:gd name="T62" fmla="*/ 198 w 548"/>
              <a:gd name="T63" fmla="*/ 449 h 1922"/>
              <a:gd name="T64" fmla="*/ 119 w 548"/>
              <a:gd name="T65" fmla="*/ 312 h 1922"/>
              <a:gd name="T66" fmla="*/ 23 w 548"/>
              <a:gd name="T67" fmla="*/ 186 h 1922"/>
              <a:gd name="T68" fmla="*/ 3 w 548"/>
              <a:gd name="T69" fmla="*/ 151 h 1922"/>
              <a:gd name="T70" fmla="*/ 0 w 548"/>
              <a:gd name="T71" fmla="*/ 112 h 1922"/>
              <a:gd name="T72" fmla="*/ 14 w 548"/>
              <a:gd name="T73" fmla="*/ 74 h 1922"/>
              <a:gd name="T74" fmla="*/ 58 w 548"/>
              <a:gd name="T75" fmla="*/ 28 h 1922"/>
              <a:gd name="T76" fmla="*/ 96 w 548"/>
              <a:gd name="T77" fmla="*/ 4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117" y="0"/>
                </a:moveTo>
                <a:lnTo>
                  <a:pt x="138" y="1"/>
                </a:lnTo>
                <a:lnTo>
                  <a:pt x="159" y="7"/>
                </a:lnTo>
                <a:lnTo>
                  <a:pt x="178" y="17"/>
                </a:lnTo>
                <a:lnTo>
                  <a:pt x="195" y="32"/>
                </a:lnTo>
                <a:lnTo>
                  <a:pt x="247" y="93"/>
                </a:lnTo>
                <a:lnTo>
                  <a:pt x="294" y="156"/>
                </a:lnTo>
                <a:lnTo>
                  <a:pt x="337" y="222"/>
                </a:lnTo>
                <a:lnTo>
                  <a:pt x="377" y="290"/>
                </a:lnTo>
                <a:lnTo>
                  <a:pt x="413" y="360"/>
                </a:lnTo>
                <a:lnTo>
                  <a:pt x="446" y="434"/>
                </a:lnTo>
                <a:lnTo>
                  <a:pt x="476" y="518"/>
                </a:lnTo>
                <a:lnTo>
                  <a:pt x="503" y="604"/>
                </a:lnTo>
                <a:lnTo>
                  <a:pt x="523" y="692"/>
                </a:lnTo>
                <a:lnTo>
                  <a:pt x="536" y="780"/>
                </a:lnTo>
                <a:lnTo>
                  <a:pt x="545" y="871"/>
                </a:lnTo>
                <a:lnTo>
                  <a:pt x="548" y="961"/>
                </a:lnTo>
                <a:lnTo>
                  <a:pt x="545" y="1052"/>
                </a:lnTo>
                <a:lnTo>
                  <a:pt x="536" y="1141"/>
                </a:lnTo>
                <a:lnTo>
                  <a:pt x="523" y="1229"/>
                </a:lnTo>
                <a:lnTo>
                  <a:pt x="503" y="1317"/>
                </a:lnTo>
                <a:lnTo>
                  <a:pt x="476" y="1403"/>
                </a:lnTo>
                <a:lnTo>
                  <a:pt x="446" y="1488"/>
                </a:lnTo>
                <a:lnTo>
                  <a:pt x="413" y="1561"/>
                </a:lnTo>
                <a:lnTo>
                  <a:pt x="377" y="1631"/>
                </a:lnTo>
                <a:lnTo>
                  <a:pt x="337" y="1700"/>
                </a:lnTo>
                <a:lnTo>
                  <a:pt x="294" y="1765"/>
                </a:lnTo>
                <a:lnTo>
                  <a:pt x="247" y="1829"/>
                </a:lnTo>
                <a:lnTo>
                  <a:pt x="196" y="1890"/>
                </a:lnTo>
                <a:lnTo>
                  <a:pt x="179" y="1905"/>
                </a:lnTo>
                <a:lnTo>
                  <a:pt x="159" y="1916"/>
                </a:lnTo>
                <a:lnTo>
                  <a:pt x="138" y="1921"/>
                </a:lnTo>
                <a:lnTo>
                  <a:pt x="117" y="1922"/>
                </a:lnTo>
                <a:lnTo>
                  <a:pt x="96" y="1918"/>
                </a:lnTo>
                <a:lnTo>
                  <a:pt x="76" y="1908"/>
                </a:lnTo>
                <a:lnTo>
                  <a:pt x="58" y="1895"/>
                </a:lnTo>
                <a:lnTo>
                  <a:pt x="27" y="1864"/>
                </a:lnTo>
                <a:lnTo>
                  <a:pt x="15" y="1847"/>
                </a:lnTo>
                <a:lnTo>
                  <a:pt x="5" y="1829"/>
                </a:lnTo>
                <a:lnTo>
                  <a:pt x="1" y="1809"/>
                </a:lnTo>
                <a:lnTo>
                  <a:pt x="0" y="1790"/>
                </a:lnTo>
                <a:lnTo>
                  <a:pt x="4" y="1770"/>
                </a:lnTo>
                <a:lnTo>
                  <a:pt x="12" y="1751"/>
                </a:lnTo>
                <a:lnTo>
                  <a:pt x="24" y="1735"/>
                </a:lnTo>
                <a:lnTo>
                  <a:pt x="25" y="1731"/>
                </a:lnTo>
                <a:lnTo>
                  <a:pt x="27" y="1729"/>
                </a:lnTo>
                <a:lnTo>
                  <a:pt x="77" y="1669"/>
                </a:lnTo>
                <a:lnTo>
                  <a:pt x="121" y="1607"/>
                </a:lnTo>
                <a:lnTo>
                  <a:pt x="162" y="1541"/>
                </a:lnTo>
                <a:lnTo>
                  <a:pt x="199" y="1473"/>
                </a:lnTo>
                <a:lnTo>
                  <a:pt x="231" y="1402"/>
                </a:lnTo>
                <a:lnTo>
                  <a:pt x="256" y="1330"/>
                </a:lnTo>
                <a:lnTo>
                  <a:pt x="278" y="1259"/>
                </a:lnTo>
                <a:lnTo>
                  <a:pt x="295" y="1185"/>
                </a:lnTo>
                <a:lnTo>
                  <a:pt x="307" y="1112"/>
                </a:lnTo>
                <a:lnTo>
                  <a:pt x="314" y="1037"/>
                </a:lnTo>
                <a:lnTo>
                  <a:pt x="316" y="961"/>
                </a:lnTo>
                <a:lnTo>
                  <a:pt x="314" y="885"/>
                </a:lnTo>
                <a:lnTo>
                  <a:pt x="307" y="811"/>
                </a:lnTo>
                <a:lnTo>
                  <a:pt x="295" y="737"/>
                </a:lnTo>
                <a:lnTo>
                  <a:pt x="278" y="663"/>
                </a:lnTo>
                <a:lnTo>
                  <a:pt x="256" y="592"/>
                </a:lnTo>
                <a:lnTo>
                  <a:pt x="231" y="521"/>
                </a:lnTo>
                <a:lnTo>
                  <a:pt x="198" y="449"/>
                </a:lnTo>
                <a:lnTo>
                  <a:pt x="161" y="379"/>
                </a:lnTo>
                <a:lnTo>
                  <a:pt x="119" y="312"/>
                </a:lnTo>
                <a:lnTo>
                  <a:pt x="73" y="248"/>
                </a:lnTo>
                <a:lnTo>
                  <a:pt x="23" y="186"/>
                </a:lnTo>
                <a:lnTo>
                  <a:pt x="11" y="170"/>
                </a:lnTo>
                <a:lnTo>
                  <a:pt x="3" y="151"/>
                </a:lnTo>
                <a:lnTo>
                  <a:pt x="0" y="132"/>
                </a:lnTo>
                <a:lnTo>
                  <a:pt x="0" y="112"/>
                </a:lnTo>
                <a:lnTo>
                  <a:pt x="5" y="93"/>
                </a:lnTo>
                <a:lnTo>
                  <a:pt x="14" y="74"/>
                </a:lnTo>
                <a:lnTo>
                  <a:pt x="27" y="58"/>
                </a:lnTo>
                <a:lnTo>
                  <a:pt x="58" y="28"/>
                </a:lnTo>
                <a:lnTo>
                  <a:pt x="76" y="14"/>
                </a:lnTo>
                <a:lnTo>
                  <a:pt x="96" y="4"/>
                </a:lnTo>
                <a:lnTo>
                  <a:pt x="11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4" name="Freeform 243">
            <a:extLst>
              <a:ext uri="{FF2B5EF4-FFF2-40B4-BE49-F238E27FC236}">
                <a16:creationId xmlns:a16="http://schemas.microsoft.com/office/drawing/2014/main" xmlns="" id="{00000000-0008-0000-0000-00007D000000}"/>
              </a:ext>
            </a:extLst>
          </xdr:cNvPr>
          <xdr:cNvSpPr>
            <a:spLocks/>
          </xdr:cNvSpPr>
        </xdr:nvSpPr>
        <xdr:spPr bwMode="auto">
          <a:xfrm>
            <a:off x="1506538" y="1522413"/>
            <a:ext cx="68263" cy="182563"/>
          </a:xfrm>
          <a:custGeom>
            <a:avLst/>
            <a:gdLst>
              <a:gd name="T0" fmla="*/ 135 w 347"/>
              <a:gd name="T1" fmla="*/ 0 h 923"/>
              <a:gd name="T2" fmla="*/ 154 w 347"/>
              <a:gd name="T3" fmla="*/ 3 h 923"/>
              <a:gd name="T4" fmla="*/ 173 w 347"/>
              <a:gd name="T5" fmla="*/ 11 h 923"/>
              <a:gd name="T6" fmla="*/ 189 w 347"/>
              <a:gd name="T7" fmla="*/ 22 h 923"/>
              <a:gd name="T8" fmla="*/ 204 w 347"/>
              <a:gd name="T9" fmla="*/ 38 h 923"/>
              <a:gd name="T10" fmla="*/ 219 w 347"/>
              <a:gd name="T11" fmla="*/ 60 h 923"/>
              <a:gd name="T12" fmla="*/ 235 w 347"/>
              <a:gd name="T13" fmla="*/ 84 h 923"/>
              <a:gd name="T14" fmla="*/ 252 w 347"/>
              <a:gd name="T15" fmla="*/ 112 h 923"/>
              <a:gd name="T16" fmla="*/ 282 w 347"/>
              <a:gd name="T17" fmla="*/ 167 h 923"/>
              <a:gd name="T18" fmla="*/ 305 w 347"/>
              <a:gd name="T19" fmla="*/ 223 h 923"/>
              <a:gd name="T20" fmla="*/ 324 w 347"/>
              <a:gd name="T21" fmla="*/ 280 h 923"/>
              <a:gd name="T22" fmla="*/ 337 w 347"/>
              <a:gd name="T23" fmla="*/ 339 h 923"/>
              <a:gd name="T24" fmla="*/ 344 w 347"/>
              <a:gd name="T25" fmla="*/ 400 h 923"/>
              <a:gd name="T26" fmla="*/ 347 w 347"/>
              <a:gd name="T27" fmla="*/ 462 h 923"/>
              <a:gd name="T28" fmla="*/ 344 w 347"/>
              <a:gd name="T29" fmla="*/ 529 h 923"/>
              <a:gd name="T30" fmla="*/ 334 w 347"/>
              <a:gd name="T31" fmla="*/ 596 h 923"/>
              <a:gd name="T32" fmla="*/ 318 w 347"/>
              <a:gd name="T33" fmla="*/ 661 h 923"/>
              <a:gd name="T34" fmla="*/ 295 w 347"/>
              <a:gd name="T35" fmla="*/ 724 h 923"/>
              <a:gd name="T36" fmla="*/ 276 w 347"/>
              <a:gd name="T37" fmla="*/ 767 h 923"/>
              <a:gd name="T38" fmla="*/ 254 w 347"/>
              <a:gd name="T39" fmla="*/ 808 h 923"/>
              <a:gd name="T40" fmla="*/ 229 w 347"/>
              <a:gd name="T41" fmla="*/ 848 h 923"/>
              <a:gd name="T42" fmla="*/ 203 w 347"/>
              <a:gd name="T43" fmla="*/ 886 h 923"/>
              <a:gd name="T44" fmla="*/ 188 w 347"/>
              <a:gd name="T45" fmla="*/ 901 h 923"/>
              <a:gd name="T46" fmla="*/ 171 w 347"/>
              <a:gd name="T47" fmla="*/ 913 h 923"/>
              <a:gd name="T48" fmla="*/ 152 w 347"/>
              <a:gd name="T49" fmla="*/ 920 h 923"/>
              <a:gd name="T50" fmla="*/ 133 w 347"/>
              <a:gd name="T51" fmla="*/ 923 h 923"/>
              <a:gd name="T52" fmla="*/ 113 w 347"/>
              <a:gd name="T53" fmla="*/ 922 h 923"/>
              <a:gd name="T54" fmla="*/ 94 w 347"/>
              <a:gd name="T55" fmla="*/ 918 h 923"/>
              <a:gd name="T56" fmla="*/ 76 w 347"/>
              <a:gd name="T57" fmla="*/ 908 h 923"/>
              <a:gd name="T58" fmla="*/ 59 w 347"/>
              <a:gd name="T59" fmla="*/ 896 h 923"/>
              <a:gd name="T60" fmla="*/ 28 w 347"/>
              <a:gd name="T61" fmla="*/ 862 h 923"/>
              <a:gd name="T62" fmla="*/ 13 w 347"/>
              <a:gd name="T63" fmla="*/ 844 h 923"/>
              <a:gd name="T64" fmla="*/ 4 w 347"/>
              <a:gd name="T65" fmla="*/ 824 h 923"/>
              <a:gd name="T66" fmla="*/ 0 w 347"/>
              <a:gd name="T67" fmla="*/ 802 h 923"/>
              <a:gd name="T68" fmla="*/ 0 w 347"/>
              <a:gd name="T69" fmla="*/ 780 h 923"/>
              <a:gd name="T70" fmla="*/ 7 w 347"/>
              <a:gd name="T71" fmla="*/ 759 h 923"/>
              <a:gd name="T72" fmla="*/ 18 w 347"/>
              <a:gd name="T73" fmla="*/ 739 h 923"/>
              <a:gd name="T74" fmla="*/ 35 w 347"/>
              <a:gd name="T75" fmla="*/ 717 h 923"/>
              <a:gd name="T76" fmla="*/ 55 w 347"/>
              <a:gd name="T77" fmla="*/ 685 h 923"/>
              <a:gd name="T78" fmla="*/ 73 w 347"/>
              <a:gd name="T79" fmla="*/ 656 h 923"/>
              <a:gd name="T80" fmla="*/ 86 w 347"/>
              <a:gd name="T81" fmla="*/ 627 h 923"/>
              <a:gd name="T82" fmla="*/ 96 w 347"/>
              <a:gd name="T83" fmla="*/ 598 h 923"/>
              <a:gd name="T84" fmla="*/ 105 w 347"/>
              <a:gd name="T85" fmla="*/ 568 h 923"/>
              <a:gd name="T86" fmla="*/ 110 w 347"/>
              <a:gd name="T87" fmla="*/ 536 h 923"/>
              <a:gd name="T88" fmla="*/ 113 w 347"/>
              <a:gd name="T89" fmla="*/ 501 h 923"/>
              <a:gd name="T90" fmla="*/ 115 w 347"/>
              <a:gd name="T91" fmla="*/ 461 h 923"/>
              <a:gd name="T92" fmla="*/ 113 w 347"/>
              <a:gd name="T93" fmla="*/ 411 h 923"/>
              <a:gd name="T94" fmla="*/ 106 w 347"/>
              <a:gd name="T95" fmla="*/ 361 h 923"/>
              <a:gd name="T96" fmla="*/ 92 w 347"/>
              <a:gd name="T97" fmla="*/ 314 h 923"/>
              <a:gd name="T98" fmla="*/ 73 w 347"/>
              <a:gd name="T99" fmla="*/ 267 h 923"/>
              <a:gd name="T100" fmla="*/ 49 w 347"/>
              <a:gd name="T101" fmla="*/ 223 h 923"/>
              <a:gd name="T102" fmla="*/ 20 w 347"/>
              <a:gd name="T103" fmla="*/ 182 h 923"/>
              <a:gd name="T104" fmla="*/ 10 w 347"/>
              <a:gd name="T105" fmla="*/ 162 h 923"/>
              <a:gd name="T106" fmla="*/ 4 w 347"/>
              <a:gd name="T107" fmla="*/ 140 h 923"/>
              <a:gd name="T108" fmla="*/ 3 w 347"/>
              <a:gd name="T109" fmla="*/ 118 h 923"/>
              <a:gd name="T110" fmla="*/ 7 w 347"/>
              <a:gd name="T111" fmla="*/ 97 h 923"/>
              <a:gd name="T112" fmla="*/ 15 w 347"/>
              <a:gd name="T113" fmla="*/ 76 h 923"/>
              <a:gd name="T114" fmla="*/ 30 w 347"/>
              <a:gd name="T115" fmla="*/ 58 h 923"/>
              <a:gd name="T116" fmla="*/ 60 w 347"/>
              <a:gd name="T117" fmla="*/ 27 h 923"/>
              <a:gd name="T118" fmla="*/ 77 w 347"/>
              <a:gd name="T119" fmla="*/ 14 h 923"/>
              <a:gd name="T120" fmla="*/ 95 w 347"/>
              <a:gd name="T121" fmla="*/ 5 h 923"/>
              <a:gd name="T122" fmla="*/ 115 w 347"/>
              <a:gd name="T123" fmla="*/ 0 h 923"/>
              <a:gd name="T124" fmla="*/ 135 w 347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7" h="923">
                <a:moveTo>
                  <a:pt x="135" y="0"/>
                </a:moveTo>
                <a:lnTo>
                  <a:pt x="154" y="3"/>
                </a:lnTo>
                <a:lnTo>
                  <a:pt x="173" y="11"/>
                </a:lnTo>
                <a:lnTo>
                  <a:pt x="189" y="22"/>
                </a:lnTo>
                <a:lnTo>
                  <a:pt x="204" y="38"/>
                </a:lnTo>
                <a:lnTo>
                  <a:pt x="219" y="60"/>
                </a:lnTo>
                <a:lnTo>
                  <a:pt x="235" y="84"/>
                </a:lnTo>
                <a:lnTo>
                  <a:pt x="252" y="112"/>
                </a:lnTo>
                <a:lnTo>
                  <a:pt x="282" y="167"/>
                </a:lnTo>
                <a:lnTo>
                  <a:pt x="305" y="223"/>
                </a:lnTo>
                <a:lnTo>
                  <a:pt x="324" y="280"/>
                </a:lnTo>
                <a:lnTo>
                  <a:pt x="337" y="339"/>
                </a:lnTo>
                <a:lnTo>
                  <a:pt x="344" y="400"/>
                </a:lnTo>
                <a:lnTo>
                  <a:pt x="347" y="462"/>
                </a:lnTo>
                <a:lnTo>
                  <a:pt x="344" y="529"/>
                </a:lnTo>
                <a:lnTo>
                  <a:pt x="334" y="596"/>
                </a:lnTo>
                <a:lnTo>
                  <a:pt x="318" y="661"/>
                </a:lnTo>
                <a:lnTo>
                  <a:pt x="295" y="724"/>
                </a:lnTo>
                <a:lnTo>
                  <a:pt x="276" y="767"/>
                </a:lnTo>
                <a:lnTo>
                  <a:pt x="254" y="808"/>
                </a:lnTo>
                <a:lnTo>
                  <a:pt x="229" y="848"/>
                </a:lnTo>
                <a:lnTo>
                  <a:pt x="203" y="886"/>
                </a:lnTo>
                <a:lnTo>
                  <a:pt x="188" y="901"/>
                </a:lnTo>
                <a:lnTo>
                  <a:pt x="171" y="913"/>
                </a:lnTo>
                <a:lnTo>
                  <a:pt x="152" y="920"/>
                </a:lnTo>
                <a:lnTo>
                  <a:pt x="133" y="923"/>
                </a:lnTo>
                <a:lnTo>
                  <a:pt x="113" y="922"/>
                </a:lnTo>
                <a:lnTo>
                  <a:pt x="94" y="918"/>
                </a:lnTo>
                <a:lnTo>
                  <a:pt x="76" y="908"/>
                </a:lnTo>
                <a:lnTo>
                  <a:pt x="59" y="896"/>
                </a:lnTo>
                <a:lnTo>
                  <a:pt x="28" y="862"/>
                </a:lnTo>
                <a:lnTo>
                  <a:pt x="13" y="844"/>
                </a:lnTo>
                <a:lnTo>
                  <a:pt x="4" y="824"/>
                </a:lnTo>
                <a:lnTo>
                  <a:pt x="0" y="802"/>
                </a:lnTo>
                <a:lnTo>
                  <a:pt x="0" y="780"/>
                </a:lnTo>
                <a:lnTo>
                  <a:pt x="7" y="759"/>
                </a:lnTo>
                <a:lnTo>
                  <a:pt x="18" y="739"/>
                </a:lnTo>
                <a:lnTo>
                  <a:pt x="35" y="717"/>
                </a:lnTo>
                <a:lnTo>
                  <a:pt x="55" y="685"/>
                </a:lnTo>
                <a:lnTo>
                  <a:pt x="73" y="656"/>
                </a:lnTo>
                <a:lnTo>
                  <a:pt x="86" y="627"/>
                </a:lnTo>
                <a:lnTo>
                  <a:pt x="96" y="598"/>
                </a:lnTo>
                <a:lnTo>
                  <a:pt x="105" y="568"/>
                </a:lnTo>
                <a:lnTo>
                  <a:pt x="110" y="536"/>
                </a:lnTo>
                <a:lnTo>
                  <a:pt x="113" y="501"/>
                </a:lnTo>
                <a:lnTo>
                  <a:pt x="115" y="461"/>
                </a:lnTo>
                <a:lnTo>
                  <a:pt x="113" y="411"/>
                </a:lnTo>
                <a:lnTo>
                  <a:pt x="106" y="361"/>
                </a:lnTo>
                <a:lnTo>
                  <a:pt x="92" y="314"/>
                </a:lnTo>
                <a:lnTo>
                  <a:pt x="73" y="267"/>
                </a:lnTo>
                <a:lnTo>
                  <a:pt x="49" y="223"/>
                </a:lnTo>
                <a:lnTo>
                  <a:pt x="20" y="182"/>
                </a:lnTo>
                <a:lnTo>
                  <a:pt x="10" y="162"/>
                </a:lnTo>
                <a:lnTo>
                  <a:pt x="4" y="140"/>
                </a:lnTo>
                <a:lnTo>
                  <a:pt x="3" y="118"/>
                </a:lnTo>
                <a:lnTo>
                  <a:pt x="7" y="97"/>
                </a:lnTo>
                <a:lnTo>
                  <a:pt x="15" y="76"/>
                </a:lnTo>
                <a:lnTo>
                  <a:pt x="30" y="58"/>
                </a:lnTo>
                <a:lnTo>
                  <a:pt x="60" y="27"/>
                </a:lnTo>
                <a:lnTo>
                  <a:pt x="77" y="14"/>
                </a:lnTo>
                <a:lnTo>
                  <a:pt x="95" y="5"/>
                </a:lnTo>
                <a:lnTo>
                  <a:pt x="115" y="0"/>
                </a:lnTo>
                <a:lnTo>
                  <a:pt x="13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45" name="Freeform 244">
            <a:extLst>
              <a:ext uri="{FF2B5EF4-FFF2-40B4-BE49-F238E27FC236}">
                <a16:creationId xmlns:a16="http://schemas.microsoft.com/office/drawing/2014/main" xmlns="" id="{00000000-0008-0000-0000-00007E000000}"/>
              </a:ext>
            </a:extLst>
          </xdr:cNvPr>
          <xdr:cNvSpPr>
            <a:spLocks noEditPoints="1"/>
          </xdr:cNvSpPr>
        </xdr:nvSpPr>
        <xdr:spPr bwMode="auto">
          <a:xfrm>
            <a:off x="1228725" y="1544638"/>
            <a:ext cx="347663" cy="565150"/>
          </a:xfrm>
          <a:custGeom>
            <a:avLst/>
            <a:gdLst>
              <a:gd name="T0" fmla="*/ 406 w 1757"/>
              <a:gd name="T1" fmla="*/ 2241 h 2851"/>
              <a:gd name="T2" fmla="*/ 1272 w 1757"/>
              <a:gd name="T3" fmla="*/ 1995 h 2851"/>
              <a:gd name="T4" fmla="*/ 641 w 1757"/>
              <a:gd name="T5" fmla="*/ 1501 h 2851"/>
              <a:gd name="T6" fmla="*/ 1194 w 1757"/>
              <a:gd name="T7" fmla="*/ 1750 h 2851"/>
              <a:gd name="T8" fmla="*/ 641 w 1757"/>
              <a:gd name="T9" fmla="*/ 1501 h 2851"/>
              <a:gd name="T10" fmla="*/ 720 w 1757"/>
              <a:gd name="T11" fmla="*/ 1254 h 2851"/>
              <a:gd name="T12" fmla="*/ 878 w 1757"/>
              <a:gd name="T13" fmla="*/ 753 h 2851"/>
              <a:gd name="T14" fmla="*/ 926 w 1757"/>
              <a:gd name="T15" fmla="*/ 3 h 2851"/>
              <a:gd name="T16" fmla="*/ 1016 w 1757"/>
              <a:gd name="T17" fmla="*/ 27 h 2851"/>
              <a:gd name="T18" fmla="*/ 1093 w 1757"/>
              <a:gd name="T19" fmla="*/ 72 h 2851"/>
              <a:gd name="T20" fmla="*/ 1156 w 1757"/>
              <a:gd name="T21" fmla="*/ 134 h 2851"/>
              <a:gd name="T22" fmla="*/ 1201 w 1757"/>
              <a:gd name="T23" fmla="*/ 212 h 2851"/>
              <a:gd name="T24" fmla="*/ 1225 w 1757"/>
              <a:gd name="T25" fmla="*/ 301 h 2851"/>
              <a:gd name="T26" fmla="*/ 1225 w 1757"/>
              <a:gd name="T27" fmla="*/ 394 h 2851"/>
              <a:gd name="T28" fmla="*/ 1201 w 1757"/>
              <a:gd name="T29" fmla="*/ 483 h 2851"/>
              <a:gd name="T30" fmla="*/ 1157 w 1757"/>
              <a:gd name="T31" fmla="*/ 560 h 2851"/>
              <a:gd name="T32" fmla="*/ 1095 w 1757"/>
              <a:gd name="T33" fmla="*/ 622 h 2851"/>
              <a:gd name="T34" fmla="*/ 1757 w 1757"/>
              <a:gd name="T35" fmla="*/ 2715 h 2851"/>
              <a:gd name="T36" fmla="*/ 1751 w 1757"/>
              <a:gd name="T37" fmla="*/ 2762 h 2851"/>
              <a:gd name="T38" fmla="*/ 1730 w 1757"/>
              <a:gd name="T39" fmla="*/ 2803 h 2851"/>
              <a:gd name="T40" fmla="*/ 1694 w 1757"/>
              <a:gd name="T41" fmla="*/ 2835 h 2851"/>
              <a:gd name="T42" fmla="*/ 1652 w 1757"/>
              <a:gd name="T43" fmla="*/ 2849 h 2851"/>
              <a:gd name="T44" fmla="*/ 1608 w 1757"/>
              <a:gd name="T45" fmla="*/ 2848 h 2851"/>
              <a:gd name="T46" fmla="*/ 1562 w 1757"/>
              <a:gd name="T47" fmla="*/ 2827 h 2851"/>
              <a:gd name="T48" fmla="*/ 1528 w 1757"/>
              <a:gd name="T49" fmla="*/ 2789 h 2851"/>
              <a:gd name="T50" fmla="*/ 1429 w 1757"/>
              <a:gd name="T51" fmla="*/ 2486 h 2851"/>
              <a:gd name="T52" fmla="*/ 1420 w 1757"/>
              <a:gd name="T53" fmla="*/ 2487 h 2851"/>
              <a:gd name="T54" fmla="*/ 333 w 1757"/>
              <a:gd name="T55" fmla="*/ 2487 h 2851"/>
              <a:gd name="T56" fmla="*/ 239 w 1757"/>
              <a:gd name="T57" fmla="*/ 2764 h 2851"/>
              <a:gd name="T58" fmla="*/ 218 w 1757"/>
              <a:gd name="T59" fmla="*/ 2804 h 2851"/>
              <a:gd name="T60" fmla="*/ 185 w 1757"/>
              <a:gd name="T61" fmla="*/ 2833 h 2851"/>
              <a:gd name="T62" fmla="*/ 144 w 1757"/>
              <a:gd name="T63" fmla="*/ 2849 h 2851"/>
              <a:gd name="T64" fmla="*/ 104 w 1757"/>
              <a:gd name="T65" fmla="*/ 2849 h 2851"/>
              <a:gd name="T66" fmla="*/ 62 w 1757"/>
              <a:gd name="T67" fmla="*/ 2835 h 2851"/>
              <a:gd name="T68" fmla="*/ 26 w 1757"/>
              <a:gd name="T69" fmla="*/ 2803 h 2851"/>
              <a:gd name="T70" fmla="*/ 4 w 1757"/>
              <a:gd name="T71" fmla="*/ 2762 h 2851"/>
              <a:gd name="T72" fmla="*/ 0 w 1757"/>
              <a:gd name="T73" fmla="*/ 2715 h 2851"/>
              <a:gd name="T74" fmla="*/ 662 w 1757"/>
              <a:gd name="T75" fmla="*/ 620 h 2851"/>
              <a:gd name="T76" fmla="*/ 601 w 1757"/>
              <a:gd name="T77" fmla="*/ 558 h 2851"/>
              <a:gd name="T78" fmla="*/ 557 w 1757"/>
              <a:gd name="T79" fmla="*/ 481 h 2851"/>
              <a:gd name="T80" fmla="*/ 533 w 1757"/>
              <a:gd name="T81" fmla="*/ 394 h 2851"/>
              <a:gd name="T82" fmla="*/ 533 w 1757"/>
              <a:gd name="T83" fmla="*/ 301 h 2851"/>
              <a:gd name="T84" fmla="*/ 557 w 1757"/>
              <a:gd name="T85" fmla="*/ 212 h 2851"/>
              <a:gd name="T86" fmla="*/ 603 w 1757"/>
              <a:gd name="T87" fmla="*/ 134 h 2851"/>
              <a:gd name="T88" fmla="*/ 666 w 1757"/>
              <a:gd name="T89" fmla="*/ 71 h 2851"/>
              <a:gd name="T90" fmla="*/ 744 w 1757"/>
              <a:gd name="T91" fmla="*/ 27 h 2851"/>
              <a:gd name="T92" fmla="*/ 832 w 1757"/>
              <a:gd name="T93" fmla="*/ 3 h 28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757" h="2851">
                <a:moveTo>
                  <a:pt x="484" y="1995"/>
                </a:moveTo>
                <a:lnTo>
                  <a:pt x="406" y="2241"/>
                </a:lnTo>
                <a:lnTo>
                  <a:pt x="1350" y="2241"/>
                </a:lnTo>
                <a:lnTo>
                  <a:pt x="1272" y="1995"/>
                </a:lnTo>
                <a:lnTo>
                  <a:pt x="484" y="1995"/>
                </a:lnTo>
                <a:close/>
                <a:moveTo>
                  <a:pt x="641" y="1501"/>
                </a:moveTo>
                <a:lnTo>
                  <a:pt x="562" y="1750"/>
                </a:lnTo>
                <a:lnTo>
                  <a:pt x="1194" y="1750"/>
                </a:lnTo>
                <a:lnTo>
                  <a:pt x="1115" y="1501"/>
                </a:lnTo>
                <a:lnTo>
                  <a:pt x="641" y="1501"/>
                </a:lnTo>
                <a:close/>
                <a:moveTo>
                  <a:pt x="878" y="753"/>
                </a:moveTo>
                <a:lnTo>
                  <a:pt x="720" y="1254"/>
                </a:lnTo>
                <a:lnTo>
                  <a:pt x="1037" y="1254"/>
                </a:lnTo>
                <a:lnTo>
                  <a:pt x="878" y="753"/>
                </a:lnTo>
                <a:close/>
                <a:moveTo>
                  <a:pt x="879" y="0"/>
                </a:moveTo>
                <a:lnTo>
                  <a:pt x="926" y="3"/>
                </a:lnTo>
                <a:lnTo>
                  <a:pt x="973" y="11"/>
                </a:lnTo>
                <a:lnTo>
                  <a:pt x="1016" y="27"/>
                </a:lnTo>
                <a:lnTo>
                  <a:pt x="1056" y="47"/>
                </a:lnTo>
                <a:lnTo>
                  <a:pt x="1093" y="72"/>
                </a:lnTo>
                <a:lnTo>
                  <a:pt x="1126" y="102"/>
                </a:lnTo>
                <a:lnTo>
                  <a:pt x="1156" y="134"/>
                </a:lnTo>
                <a:lnTo>
                  <a:pt x="1181" y="172"/>
                </a:lnTo>
                <a:lnTo>
                  <a:pt x="1201" y="212"/>
                </a:lnTo>
                <a:lnTo>
                  <a:pt x="1216" y="255"/>
                </a:lnTo>
                <a:lnTo>
                  <a:pt x="1225" y="301"/>
                </a:lnTo>
                <a:lnTo>
                  <a:pt x="1229" y="348"/>
                </a:lnTo>
                <a:lnTo>
                  <a:pt x="1225" y="394"/>
                </a:lnTo>
                <a:lnTo>
                  <a:pt x="1216" y="440"/>
                </a:lnTo>
                <a:lnTo>
                  <a:pt x="1201" y="483"/>
                </a:lnTo>
                <a:lnTo>
                  <a:pt x="1181" y="523"/>
                </a:lnTo>
                <a:lnTo>
                  <a:pt x="1157" y="560"/>
                </a:lnTo>
                <a:lnTo>
                  <a:pt x="1127" y="592"/>
                </a:lnTo>
                <a:lnTo>
                  <a:pt x="1095" y="622"/>
                </a:lnTo>
                <a:lnTo>
                  <a:pt x="1751" y="2691"/>
                </a:lnTo>
                <a:lnTo>
                  <a:pt x="1757" y="2715"/>
                </a:lnTo>
                <a:lnTo>
                  <a:pt x="1757" y="2739"/>
                </a:lnTo>
                <a:lnTo>
                  <a:pt x="1751" y="2762"/>
                </a:lnTo>
                <a:lnTo>
                  <a:pt x="1743" y="2784"/>
                </a:lnTo>
                <a:lnTo>
                  <a:pt x="1730" y="2803"/>
                </a:lnTo>
                <a:lnTo>
                  <a:pt x="1713" y="2821"/>
                </a:lnTo>
                <a:lnTo>
                  <a:pt x="1694" y="2835"/>
                </a:lnTo>
                <a:lnTo>
                  <a:pt x="1671" y="2844"/>
                </a:lnTo>
                <a:lnTo>
                  <a:pt x="1652" y="2849"/>
                </a:lnTo>
                <a:lnTo>
                  <a:pt x="1634" y="2850"/>
                </a:lnTo>
                <a:lnTo>
                  <a:pt x="1608" y="2848"/>
                </a:lnTo>
                <a:lnTo>
                  <a:pt x="1584" y="2839"/>
                </a:lnTo>
                <a:lnTo>
                  <a:pt x="1562" y="2827"/>
                </a:lnTo>
                <a:lnTo>
                  <a:pt x="1543" y="2810"/>
                </a:lnTo>
                <a:lnTo>
                  <a:pt x="1528" y="2789"/>
                </a:lnTo>
                <a:lnTo>
                  <a:pt x="1516" y="2764"/>
                </a:lnTo>
                <a:lnTo>
                  <a:pt x="1429" y="2486"/>
                </a:lnTo>
                <a:lnTo>
                  <a:pt x="1425" y="2487"/>
                </a:lnTo>
                <a:lnTo>
                  <a:pt x="1420" y="2487"/>
                </a:lnTo>
                <a:lnTo>
                  <a:pt x="338" y="2487"/>
                </a:lnTo>
                <a:lnTo>
                  <a:pt x="333" y="2487"/>
                </a:lnTo>
                <a:lnTo>
                  <a:pt x="329" y="2486"/>
                </a:lnTo>
                <a:lnTo>
                  <a:pt x="239" y="2764"/>
                </a:lnTo>
                <a:lnTo>
                  <a:pt x="231" y="2786"/>
                </a:lnTo>
                <a:lnTo>
                  <a:pt x="218" y="2804"/>
                </a:lnTo>
                <a:lnTo>
                  <a:pt x="203" y="2820"/>
                </a:lnTo>
                <a:lnTo>
                  <a:pt x="185" y="2833"/>
                </a:lnTo>
                <a:lnTo>
                  <a:pt x="165" y="2842"/>
                </a:lnTo>
                <a:lnTo>
                  <a:pt x="144" y="2849"/>
                </a:lnTo>
                <a:lnTo>
                  <a:pt x="122" y="2851"/>
                </a:lnTo>
                <a:lnTo>
                  <a:pt x="104" y="2849"/>
                </a:lnTo>
                <a:lnTo>
                  <a:pt x="85" y="2844"/>
                </a:lnTo>
                <a:lnTo>
                  <a:pt x="62" y="2835"/>
                </a:lnTo>
                <a:lnTo>
                  <a:pt x="42" y="2821"/>
                </a:lnTo>
                <a:lnTo>
                  <a:pt x="26" y="2803"/>
                </a:lnTo>
                <a:lnTo>
                  <a:pt x="13" y="2784"/>
                </a:lnTo>
                <a:lnTo>
                  <a:pt x="4" y="2762"/>
                </a:lnTo>
                <a:lnTo>
                  <a:pt x="0" y="2739"/>
                </a:lnTo>
                <a:lnTo>
                  <a:pt x="0" y="2715"/>
                </a:lnTo>
                <a:lnTo>
                  <a:pt x="5" y="2691"/>
                </a:lnTo>
                <a:lnTo>
                  <a:pt x="662" y="620"/>
                </a:lnTo>
                <a:lnTo>
                  <a:pt x="629" y="590"/>
                </a:lnTo>
                <a:lnTo>
                  <a:pt x="601" y="558"/>
                </a:lnTo>
                <a:lnTo>
                  <a:pt x="576" y="521"/>
                </a:lnTo>
                <a:lnTo>
                  <a:pt x="557" y="481"/>
                </a:lnTo>
                <a:lnTo>
                  <a:pt x="543" y="439"/>
                </a:lnTo>
                <a:lnTo>
                  <a:pt x="533" y="394"/>
                </a:lnTo>
                <a:lnTo>
                  <a:pt x="530" y="348"/>
                </a:lnTo>
                <a:lnTo>
                  <a:pt x="533" y="301"/>
                </a:lnTo>
                <a:lnTo>
                  <a:pt x="543" y="255"/>
                </a:lnTo>
                <a:lnTo>
                  <a:pt x="557" y="212"/>
                </a:lnTo>
                <a:lnTo>
                  <a:pt x="578" y="171"/>
                </a:lnTo>
                <a:lnTo>
                  <a:pt x="603" y="134"/>
                </a:lnTo>
                <a:lnTo>
                  <a:pt x="632" y="101"/>
                </a:lnTo>
                <a:lnTo>
                  <a:pt x="666" y="71"/>
                </a:lnTo>
                <a:lnTo>
                  <a:pt x="703" y="47"/>
                </a:lnTo>
                <a:lnTo>
                  <a:pt x="744" y="27"/>
                </a:lnTo>
                <a:lnTo>
                  <a:pt x="786" y="11"/>
                </a:lnTo>
                <a:lnTo>
                  <a:pt x="832" y="3"/>
                </a:lnTo>
                <a:lnTo>
                  <a:pt x="87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8</xdr:col>
      <xdr:colOff>109955</xdr:colOff>
      <xdr:row>28</xdr:row>
      <xdr:rowOff>42110</xdr:rowOff>
    </xdr:from>
    <xdr:to>
      <xdr:col>9</xdr:col>
      <xdr:colOff>258240</xdr:colOff>
      <xdr:row>29</xdr:row>
      <xdr:rowOff>81619</xdr:rowOff>
    </xdr:to>
    <xdr:sp macro="" textlink="[3]Analysis!D47">
      <xdr:nvSpPr>
        <xdr:cNvPr id="246" name="TextBox 245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SpPr txBox="1"/>
      </xdr:nvSpPr>
      <xdr:spPr>
        <a:xfrm>
          <a:off x="4986755" y="5118935"/>
          <a:ext cx="757885" cy="220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D9971F7-E860-4CDD-91AC-57AFD884F951}" type="TxLink">
            <a:rPr lang="en-US" sz="8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July</a:t>
          </a:fld>
          <a:endParaRPr lang="en-US" sz="8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486116</xdr:colOff>
      <xdr:row>27</xdr:row>
      <xdr:rowOff>37909</xdr:rowOff>
    </xdr:from>
    <xdr:to>
      <xdr:col>9</xdr:col>
      <xdr:colOff>62355</xdr:colOff>
      <xdr:row>28</xdr:row>
      <xdr:rowOff>44945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SpPr txBox="1"/>
      </xdr:nvSpPr>
      <xdr:spPr>
        <a:xfrm>
          <a:off x="4753316" y="4933759"/>
          <a:ext cx="795439" cy="1880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42458</xdr:colOff>
      <xdr:row>27</xdr:row>
      <xdr:rowOff>180161</xdr:rowOff>
    </xdr:from>
    <xdr:to>
      <xdr:col>6</xdr:col>
      <xdr:colOff>42509</xdr:colOff>
      <xdr:row>29</xdr:row>
      <xdr:rowOff>8049</xdr:rowOff>
    </xdr:to>
    <xdr:sp macro="" textlink="[3]Analysis!D43">
      <xdr:nvSpPr>
        <xdr:cNvPr id="248" name="TextBox 247">
          <a:extLst>
            <a:ext uri="{FF2B5EF4-FFF2-40B4-BE49-F238E27FC236}">
              <a16:creationId xmlns:a16="http://schemas.microsoft.com/office/drawing/2014/main" xmlns="" id="{00000000-0008-0000-0000-000029010000}"/>
            </a:ext>
          </a:extLst>
        </xdr:cNvPr>
        <xdr:cNvSpPr txBox="1"/>
      </xdr:nvSpPr>
      <xdr:spPr>
        <a:xfrm>
          <a:off x="3090458" y="5076011"/>
          <a:ext cx="609651" cy="189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6382EE8-E798-4111-9E76-C6BA1FCBEEC7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 17 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88703</xdr:colOff>
      <xdr:row>25</xdr:row>
      <xdr:rowOff>133350</xdr:rowOff>
    </xdr:from>
    <xdr:to>
      <xdr:col>9</xdr:col>
      <xdr:colOff>279264</xdr:colOff>
      <xdr:row>26</xdr:row>
      <xdr:rowOff>162688</xdr:rowOff>
    </xdr:to>
    <xdr:sp macro="" textlink="[3]Analysis!D46">
      <xdr:nvSpPr>
        <xdr:cNvPr id="249" name="TextBox 248">
          <a:extLst>
            <a:ext uri="{FF2B5EF4-FFF2-40B4-BE49-F238E27FC236}">
              <a16:creationId xmlns:a16="http://schemas.microsoft.com/office/drawing/2014/main" xmlns="" id="{00000000-0008-0000-0000-000043010000}"/>
            </a:ext>
          </a:extLst>
        </xdr:cNvPr>
        <xdr:cNvSpPr txBox="1"/>
      </xdr:nvSpPr>
      <xdr:spPr>
        <a:xfrm>
          <a:off x="4355903" y="4667250"/>
          <a:ext cx="1409761" cy="210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D080191-EF44-4695-8377-4D1CF414B9E4}" type="TxLink">
            <a:rPr lang="en-US" sz="900" b="0" i="0" u="none" strike="noStrike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Government</a:t>
          </a:fld>
          <a:endParaRPr lang="en-US" sz="900" b="0" i="0" u="none" strike="noStrike">
            <a:solidFill>
              <a:srgbClr val="01B9D5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83226</xdr:colOff>
      <xdr:row>25</xdr:row>
      <xdr:rowOff>144821</xdr:rowOff>
    </xdr:from>
    <xdr:to>
      <xdr:col>4</xdr:col>
      <xdr:colOff>597186</xdr:colOff>
      <xdr:row>26</xdr:row>
      <xdr:rowOff>124080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xmlns="" id="{00000000-0008-0000-0000-000044010000}"/>
            </a:ext>
          </a:extLst>
        </xdr:cNvPr>
        <xdr:cNvSpPr txBox="1"/>
      </xdr:nvSpPr>
      <xdr:spPr>
        <a:xfrm>
          <a:off x="1912026" y="4678721"/>
          <a:ext cx="1123560" cy="160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363318</xdr:colOff>
      <xdr:row>28</xdr:row>
      <xdr:rowOff>45614</xdr:rowOff>
    </xdr:from>
    <xdr:to>
      <xdr:col>4</xdr:col>
      <xdr:colOff>363370</xdr:colOff>
      <xdr:row>29</xdr:row>
      <xdr:rowOff>46856</xdr:rowOff>
    </xdr:to>
    <xdr:sp macro="" textlink="[3]Analysis!D41">
      <xdr:nvSpPr>
        <xdr:cNvPr id="251" name="TextBox 250">
          <a:extLst>
            <a:ext uri="{FF2B5EF4-FFF2-40B4-BE49-F238E27FC236}">
              <a16:creationId xmlns:a16="http://schemas.microsoft.com/office/drawing/2014/main" xmlns="" id="{00000000-0008-0000-0000-000048010000}"/>
            </a:ext>
          </a:extLst>
        </xdr:cNvPr>
        <xdr:cNvSpPr txBox="1"/>
      </xdr:nvSpPr>
      <xdr:spPr>
        <a:xfrm>
          <a:off x="2192118" y="5122439"/>
          <a:ext cx="609652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A542CA7-F796-4474-BFF1-52A0386A44C5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0.2M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6</xdr:col>
      <xdr:colOff>256499</xdr:colOff>
      <xdr:row>28</xdr:row>
      <xdr:rowOff>22778</xdr:rowOff>
    </xdr:from>
    <xdr:to>
      <xdr:col>6</xdr:col>
      <xdr:colOff>440534</xdr:colOff>
      <xdr:row>28</xdr:row>
      <xdr:rowOff>178143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xmlns="" id="{00000000-0008-0000-0000-00004A010000}"/>
            </a:ext>
          </a:extLst>
        </xdr:cNvPr>
        <xdr:cNvGrpSpPr/>
      </xdr:nvGrpSpPr>
      <xdr:grpSpPr>
        <a:xfrm>
          <a:off x="3914099" y="5356778"/>
          <a:ext cx="184035" cy="155365"/>
          <a:chOff x="1168380" y="3486162"/>
          <a:chExt cx="381000" cy="365126"/>
        </a:xfrm>
        <a:solidFill>
          <a:srgbClr val="4D515D"/>
        </a:solidFill>
      </xdr:grpSpPr>
      <xdr:sp macro="" textlink="">
        <xdr:nvSpPr>
          <xdr:cNvPr id="253" name="Freeform 252">
            <a:extLst>
              <a:ext uri="{FF2B5EF4-FFF2-40B4-BE49-F238E27FC236}">
                <a16:creationId xmlns:a16="http://schemas.microsoft.com/office/drawing/2014/main" xmlns="" id="{00000000-0008-0000-0000-00004B01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4" name="Freeform 253">
            <a:extLst>
              <a:ext uri="{FF2B5EF4-FFF2-40B4-BE49-F238E27FC236}">
                <a16:creationId xmlns:a16="http://schemas.microsoft.com/office/drawing/2014/main" xmlns="" id="{00000000-0008-0000-0000-00004C01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5" name="Freeform 254">
            <a:extLst>
              <a:ext uri="{FF2B5EF4-FFF2-40B4-BE49-F238E27FC236}">
                <a16:creationId xmlns:a16="http://schemas.microsoft.com/office/drawing/2014/main" xmlns="" id="{00000000-0008-0000-0000-00004D01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6</xdr:col>
      <xdr:colOff>98134</xdr:colOff>
      <xdr:row>27</xdr:row>
      <xdr:rowOff>28575</xdr:rowOff>
    </xdr:from>
    <xdr:to>
      <xdr:col>6</xdr:col>
      <xdr:colOff>104775</xdr:colOff>
      <xdr:row>29</xdr:row>
      <xdr:rowOff>62046</xdr:rowOff>
    </xdr:to>
    <xdr:cxnSp macro="">
      <xdr:nvCxnSpPr>
        <xdr:cNvPr id="256" name="Straight Connector 255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CxnSpPr/>
      </xdr:nvCxnSpPr>
      <xdr:spPr>
        <a:xfrm flipH="1">
          <a:off x="3755734" y="4924425"/>
          <a:ext cx="6641" cy="395421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457200</xdr:colOff>
      <xdr:row>27</xdr:row>
      <xdr:rowOff>19050</xdr:rowOff>
    </xdr:from>
    <xdr:to>
      <xdr:col>4</xdr:col>
      <xdr:colOff>466726</xdr:colOff>
      <xdr:row>29</xdr:row>
      <xdr:rowOff>66675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CxnSpPr/>
      </xdr:nvCxnSpPr>
      <xdr:spPr>
        <a:xfrm flipH="1">
          <a:off x="2895600" y="4914900"/>
          <a:ext cx="9526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13</xdr:row>
      <xdr:rowOff>132562</xdr:rowOff>
    </xdr:from>
    <xdr:to>
      <xdr:col>4</xdr:col>
      <xdr:colOff>188044</xdr:colOff>
      <xdr:row>16</xdr:row>
      <xdr:rowOff>85725</xdr:rowOff>
    </xdr:to>
    <xdr:cxnSp macro="">
      <xdr:nvCxnSpPr>
        <xdr:cNvPr id="258" name="Straight Connector 257">
          <a:extLst>
            <a:ext uri="{FF2B5EF4-FFF2-40B4-BE49-F238E27FC236}">
              <a16:creationId xmlns="" xmlns:a16="http://schemas.microsoft.com/office/drawing/2014/main" id="{00000000-0008-0000-0000-0000DB000000}"/>
            </a:ext>
          </a:extLst>
        </xdr:cNvPr>
        <xdr:cNvCxnSpPr/>
      </xdr:nvCxnSpPr>
      <xdr:spPr>
        <a:xfrm flipH="1">
          <a:off x="2619375" y="2494762"/>
          <a:ext cx="7069" cy="496088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537310</xdr:colOff>
      <xdr:row>28</xdr:row>
      <xdr:rowOff>35818</xdr:rowOff>
    </xdr:from>
    <xdr:to>
      <xdr:col>5</xdr:col>
      <xdr:colOff>77299</xdr:colOff>
      <xdr:row>29</xdr:row>
      <xdr:rowOff>5676</xdr:rowOff>
    </xdr:to>
    <xdr:sp macro="" textlink="">
      <xdr:nvSpPr>
        <xdr:cNvPr id="260" name="Freeform 57">
          <a:extLst>
            <a:ext uri="{FF2B5EF4-FFF2-40B4-BE49-F238E27FC236}">
              <a16:creationId xmlns="" xmlns:a16="http://schemas.microsoft.com/office/drawing/2014/main" id="{00000000-0008-0000-0000-0000C6000000}"/>
            </a:ext>
          </a:extLst>
        </xdr:cNvPr>
        <xdr:cNvSpPr>
          <a:spLocks noEditPoints="1"/>
        </xdr:cNvSpPr>
      </xdr:nvSpPr>
      <xdr:spPr bwMode="auto">
        <a:xfrm>
          <a:off x="2975710" y="5112643"/>
          <a:ext cx="149589" cy="150833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4D515D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/>
        </a:p>
      </xdr:txBody>
    </xdr:sp>
    <xdr:clientData/>
  </xdr:twoCellAnchor>
  <xdr:twoCellAnchor>
    <xdr:from>
      <xdr:col>6</xdr:col>
      <xdr:colOff>21303</xdr:colOff>
      <xdr:row>27</xdr:row>
      <xdr:rowOff>47573</xdr:rowOff>
    </xdr:from>
    <xdr:to>
      <xdr:col>8</xdr:col>
      <xdr:colOff>5853</xdr:colOff>
      <xdr:row>28</xdr:row>
      <xdr:rowOff>92294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xmlns="" id="{00000000-0008-0000-0000-000068000000}"/>
            </a:ext>
          </a:extLst>
        </xdr:cNvPr>
        <xdr:cNvSpPr txBox="1"/>
      </xdr:nvSpPr>
      <xdr:spPr>
        <a:xfrm>
          <a:off x="3678903" y="4943423"/>
          <a:ext cx="1203750" cy="2256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Profit Contribution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475920</xdr:colOff>
      <xdr:row>27</xdr:row>
      <xdr:rowOff>19050</xdr:rowOff>
    </xdr:from>
    <xdr:to>
      <xdr:col>6</xdr:col>
      <xdr:colOff>82054</xdr:colOff>
      <xdr:row>28</xdr:row>
      <xdr:rowOff>57098</xdr:rowOff>
    </xdr:to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SpPr txBox="1"/>
      </xdr:nvSpPr>
      <xdr:spPr>
        <a:xfrm>
          <a:off x="2914320" y="4914900"/>
          <a:ext cx="825334" cy="2190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114300</xdr:colOff>
      <xdr:row>27</xdr:row>
      <xdr:rowOff>43076</xdr:rowOff>
    </xdr:from>
    <xdr:to>
      <xdr:col>4</xdr:col>
      <xdr:colOff>415844</xdr:colOff>
      <xdr:row>28</xdr:row>
      <xdr:rowOff>50883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xmlns="" id="{00000000-0008-0000-0000-000047010000}"/>
            </a:ext>
          </a:extLst>
        </xdr:cNvPr>
        <xdr:cNvSpPr txBox="1"/>
      </xdr:nvSpPr>
      <xdr:spPr>
        <a:xfrm>
          <a:off x="1943100" y="4938926"/>
          <a:ext cx="911144" cy="188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Average</a:t>
          </a:r>
        </a:p>
      </xdr:txBody>
    </xdr:sp>
    <xdr:clientData/>
  </xdr:twoCellAnchor>
  <xdr:twoCellAnchor>
    <xdr:from>
      <xdr:col>3</xdr:col>
      <xdr:colOff>123825</xdr:colOff>
      <xdr:row>0</xdr:row>
      <xdr:rowOff>96091</xdr:rowOff>
    </xdr:from>
    <xdr:to>
      <xdr:col>3</xdr:col>
      <xdr:colOff>323896</xdr:colOff>
      <xdr:row>1</xdr:row>
      <xdr:rowOff>87205</xdr:rowOff>
    </xdr:to>
    <xdr:sp macro="" textlink="">
      <xdr:nvSpPr>
        <xdr:cNvPr id="266" name="Freeform 265">
          <a:extLst>
            <a:ext uri="{FF2B5EF4-FFF2-40B4-BE49-F238E27FC236}">
              <a16:creationId xmlns:a16="http://schemas.microsoft.com/office/drawing/2014/main" xmlns="" id="{00000000-0008-0000-0000-0000F4000000}"/>
            </a:ext>
          </a:extLst>
        </xdr:cNvPr>
        <xdr:cNvSpPr>
          <a:spLocks noEditPoints="1"/>
        </xdr:cNvSpPr>
      </xdr:nvSpPr>
      <xdr:spPr bwMode="auto">
        <a:xfrm>
          <a:off x="1952625" y="96091"/>
          <a:ext cx="200071" cy="172089"/>
        </a:xfrm>
        <a:custGeom>
          <a:avLst/>
          <a:gdLst/>
          <a:ahLst/>
          <a:cxnLst>
            <a:cxn ang="0">
              <a:pos x="13" y="1"/>
            </a:cxn>
            <a:cxn ang="0">
              <a:pos x="0" y="3"/>
            </a:cxn>
            <a:cxn ang="0">
              <a:pos x="0" y="54"/>
            </a:cxn>
            <a:cxn ang="0">
              <a:pos x="8" y="63"/>
            </a:cxn>
            <a:cxn ang="0">
              <a:pos x="48" y="40"/>
            </a:cxn>
            <a:cxn ang="0">
              <a:pos x="51" y="29"/>
            </a:cxn>
            <a:cxn ang="0">
              <a:pos x="272" y="9"/>
            </a:cxn>
            <a:cxn ang="0">
              <a:pos x="86" y="11"/>
            </a:cxn>
            <a:cxn ang="0">
              <a:pos x="75" y="25"/>
            </a:cxn>
            <a:cxn ang="0">
              <a:pos x="77" y="45"/>
            </a:cxn>
            <a:cxn ang="0">
              <a:pos x="91" y="54"/>
            </a:cxn>
            <a:cxn ang="0">
              <a:pos x="278" y="54"/>
            </a:cxn>
            <a:cxn ang="0">
              <a:pos x="287" y="40"/>
            </a:cxn>
            <a:cxn ang="0">
              <a:pos x="287" y="18"/>
            </a:cxn>
            <a:cxn ang="0">
              <a:pos x="272" y="9"/>
            </a:cxn>
            <a:cxn ang="0">
              <a:pos x="48" y="130"/>
            </a:cxn>
            <a:cxn ang="0">
              <a:pos x="53" y="123"/>
            </a:cxn>
            <a:cxn ang="0">
              <a:pos x="13" y="99"/>
            </a:cxn>
            <a:cxn ang="0">
              <a:pos x="4" y="99"/>
            </a:cxn>
            <a:cxn ang="0">
              <a:pos x="0" y="147"/>
            </a:cxn>
            <a:cxn ang="0">
              <a:pos x="4" y="154"/>
            </a:cxn>
            <a:cxn ang="0">
              <a:pos x="13" y="154"/>
            </a:cxn>
            <a:cxn ang="0">
              <a:pos x="91" y="99"/>
            </a:cxn>
            <a:cxn ang="0">
              <a:pos x="77" y="110"/>
            </a:cxn>
            <a:cxn ang="0">
              <a:pos x="75" y="130"/>
            </a:cxn>
            <a:cxn ang="0">
              <a:pos x="86" y="145"/>
            </a:cxn>
            <a:cxn ang="0">
              <a:pos x="272" y="147"/>
            </a:cxn>
            <a:cxn ang="0">
              <a:pos x="287" y="136"/>
            </a:cxn>
            <a:cxn ang="0">
              <a:pos x="287" y="116"/>
            </a:cxn>
            <a:cxn ang="0">
              <a:pos x="278" y="101"/>
            </a:cxn>
            <a:cxn ang="0">
              <a:pos x="48" y="206"/>
            </a:cxn>
            <a:cxn ang="0">
              <a:pos x="8" y="183"/>
            </a:cxn>
            <a:cxn ang="0">
              <a:pos x="0" y="192"/>
            </a:cxn>
            <a:cxn ang="0">
              <a:pos x="0" y="243"/>
            </a:cxn>
            <a:cxn ang="0">
              <a:pos x="13" y="244"/>
            </a:cxn>
            <a:cxn ang="0">
              <a:pos x="51" y="219"/>
            </a:cxn>
            <a:cxn ang="0">
              <a:pos x="48" y="206"/>
            </a:cxn>
            <a:cxn ang="0">
              <a:pos x="91" y="192"/>
            </a:cxn>
            <a:cxn ang="0">
              <a:pos x="80" y="195"/>
            </a:cxn>
            <a:cxn ang="0">
              <a:pos x="75" y="221"/>
            </a:cxn>
            <a:cxn ang="0">
              <a:pos x="80" y="232"/>
            </a:cxn>
            <a:cxn ang="0">
              <a:pos x="272" y="237"/>
            </a:cxn>
            <a:cxn ang="0">
              <a:pos x="283" y="232"/>
            </a:cxn>
            <a:cxn ang="0">
              <a:pos x="287" y="206"/>
            </a:cxn>
            <a:cxn ang="0">
              <a:pos x="283" y="195"/>
            </a:cxn>
            <a:cxn ang="0">
              <a:pos x="272" y="192"/>
            </a:cxn>
          </a:cxnLst>
          <a:rect l="0" t="0" r="r" b="b"/>
          <a:pathLst>
            <a:path w="287" h="246">
              <a:moveTo>
                <a:pt x="48" y="23"/>
              </a:moveTo>
              <a:lnTo>
                <a:pt x="13" y="1"/>
              </a:lnTo>
              <a:lnTo>
                <a:pt x="13" y="1"/>
              </a:lnTo>
              <a:lnTo>
                <a:pt x="8" y="0"/>
              </a:lnTo>
              <a:lnTo>
                <a:pt x="4" y="1"/>
              </a:lnTo>
              <a:lnTo>
                <a:pt x="0" y="3"/>
              </a:lnTo>
              <a:lnTo>
                <a:pt x="0" y="9"/>
              </a:lnTo>
              <a:lnTo>
                <a:pt x="0" y="54"/>
              </a:lnTo>
              <a:lnTo>
                <a:pt x="0" y="54"/>
              </a:lnTo>
              <a:lnTo>
                <a:pt x="0" y="59"/>
              </a:lnTo>
              <a:lnTo>
                <a:pt x="4" y="63"/>
              </a:lnTo>
              <a:lnTo>
                <a:pt x="8" y="63"/>
              </a:lnTo>
              <a:lnTo>
                <a:pt x="13" y="61"/>
              </a:lnTo>
              <a:lnTo>
                <a:pt x="48" y="40"/>
              </a:lnTo>
              <a:lnTo>
                <a:pt x="48" y="40"/>
              </a:lnTo>
              <a:lnTo>
                <a:pt x="51" y="36"/>
              </a:lnTo>
              <a:lnTo>
                <a:pt x="53" y="32"/>
              </a:lnTo>
              <a:lnTo>
                <a:pt x="51" y="29"/>
              </a:lnTo>
              <a:lnTo>
                <a:pt x="48" y="23"/>
              </a:lnTo>
              <a:lnTo>
                <a:pt x="48" y="23"/>
              </a:lnTo>
              <a:close/>
              <a:moveTo>
                <a:pt x="272" y="9"/>
              </a:moveTo>
              <a:lnTo>
                <a:pt x="91" y="9"/>
              </a:lnTo>
              <a:lnTo>
                <a:pt x="91" y="9"/>
              </a:lnTo>
              <a:lnTo>
                <a:pt x="86" y="11"/>
              </a:lnTo>
              <a:lnTo>
                <a:pt x="80" y="14"/>
              </a:lnTo>
              <a:lnTo>
                <a:pt x="77" y="18"/>
              </a:lnTo>
              <a:lnTo>
                <a:pt x="75" y="25"/>
              </a:lnTo>
              <a:lnTo>
                <a:pt x="75" y="40"/>
              </a:lnTo>
              <a:lnTo>
                <a:pt x="75" y="40"/>
              </a:lnTo>
              <a:lnTo>
                <a:pt x="77" y="45"/>
              </a:lnTo>
              <a:lnTo>
                <a:pt x="80" y="50"/>
              </a:lnTo>
              <a:lnTo>
                <a:pt x="86" y="54"/>
              </a:lnTo>
              <a:lnTo>
                <a:pt x="91" y="54"/>
              </a:lnTo>
              <a:lnTo>
                <a:pt x="272" y="54"/>
              </a:lnTo>
              <a:lnTo>
                <a:pt x="272" y="54"/>
              </a:lnTo>
              <a:lnTo>
                <a:pt x="278" y="54"/>
              </a:lnTo>
              <a:lnTo>
                <a:pt x="283" y="50"/>
              </a:lnTo>
              <a:lnTo>
                <a:pt x="287" y="45"/>
              </a:lnTo>
              <a:lnTo>
                <a:pt x="287" y="40"/>
              </a:lnTo>
              <a:lnTo>
                <a:pt x="287" y="25"/>
              </a:lnTo>
              <a:lnTo>
                <a:pt x="287" y="25"/>
              </a:lnTo>
              <a:lnTo>
                <a:pt x="287" y="18"/>
              </a:lnTo>
              <a:lnTo>
                <a:pt x="283" y="14"/>
              </a:lnTo>
              <a:lnTo>
                <a:pt x="278" y="11"/>
              </a:lnTo>
              <a:lnTo>
                <a:pt x="272" y="9"/>
              </a:lnTo>
              <a:lnTo>
                <a:pt x="272" y="9"/>
              </a:lnTo>
              <a:close/>
              <a:moveTo>
                <a:pt x="13" y="154"/>
              </a:moveTo>
              <a:lnTo>
                <a:pt x="48" y="130"/>
              </a:lnTo>
              <a:lnTo>
                <a:pt x="48" y="130"/>
              </a:lnTo>
              <a:lnTo>
                <a:pt x="51" y="127"/>
              </a:lnTo>
              <a:lnTo>
                <a:pt x="53" y="123"/>
              </a:lnTo>
              <a:lnTo>
                <a:pt x="51" y="119"/>
              </a:lnTo>
              <a:lnTo>
                <a:pt x="48" y="116"/>
              </a:lnTo>
              <a:lnTo>
                <a:pt x="13" y="99"/>
              </a:lnTo>
              <a:lnTo>
                <a:pt x="13" y="99"/>
              </a:lnTo>
              <a:lnTo>
                <a:pt x="8" y="98"/>
              </a:lnTo>
              <a:lnTo>
                <a:pt x="4" y="99"/>
              </a:lnTo>
              <a:lnTo>
                <a:pt x="0" y="103"/>
              </a:lnTo>
              <a:lnTo>
                <a:pt x="0" y="108"/>
              </a:lnTo>
              <a:lnTo>
                <a:pt x="0" y="147"/>
              </a:lnTo>
              <a:lnTo>
                <a:pt x="0" y="147"/>
              </a:lnTo>
              <a:lnTo>
                <a:pt x="0" y="150"/>
              </a:lnTo>
              <a:lnTo>
                <a:pt x="4" y="154"/>
              </a:lnTo>
              <a:lnTo>
                <a:pt x="8" y="156"/>
              </a:lnTo>
              <a:lnTo>
                <a:pt x="13" y="154"/>
              </a:lnTo>
              <a:lnTo>
                <a:pt x="13" y="154"/>
              </a:lnTo>
              <a:close/>
              <a:moveTo>
                <a:pt x="272" y="99"/>
              </a:moveTo>
              <a:lnTo>
                <a:pt x="91" y="99"/>
              </a:lnTo>
              <a:lnTo>
                <a:pt x="91" y="99"/>
              </a:lnTo>
              <a:lnTo>
                <a:pt x="86" y="101"/>
              </a:lnTo>
              <a:lnTo>
                <a:pt x="80" y="105"/>
              </a:lnTo>
              <a:lnTo>
                <a:pt x="77" y="110"/>
              </a:lnTo>
              <a:lnTo>
                <a:pt x="75" y="116"/>
              </a:lnTo>
              <a:lnTo>
                <a:pt x="75" y="130"/>
              </a:lnTo>
              <a:lnTo>
                <a:pt x="75" y="130"/>
              </a:lnTo>
              <a:lnTo>
                <a:pt x="77" y="136"/>
              </a:lnTo>
              <a:lnTo>
                <a:pt x="80" y="141"/>
              </a:lnTo>
              <a:lnTo>
                <a:pt x="86" y="145"/>
              </a:lnTo>
              <a:lnTo>
                <a:pt x="91" y="147"/>
              </a:lnTo>
              <a:lnTo>
                <a:pt x="272" y="147"/>
              </a:lnTo>
              <a:lnTo>
                <a:pt x="272" y="147"/>
              </a:lnTo>
              <a:lnTo>
                <a:pt x="278" y="145"/>
              </a:lnTo>
              <a:lnTo>
                <a:pt x="283" y="141"/>
              </a:lnTo>
              <a:lnTo>
                <a:pt x="287" y="136"/>
              </a:lnTo>
              <a:lnTo>
                <a:pt x="287" y="130"/>
              </a:lnTo>
              <a:lnTo>
                <a:pt x="287" y="116"/>
              </a:lnTo>
              <a:lnTo>
                <a:pt x="287" y="116"/>
              </a:lnTo>
              <a:lnTo>
                <a:pt x="287" y="110"/>
              </a:lnTo>
              <a:lnTo>
                <a:pt x="283" y="105"/>
              </a:lnTo>
              <a:lnTo>
                <a:pt x="278" y="101"/>
              </a:lnTo>
              <a:lnTo>
                <a:pt x="272" y="99"/>
              </a:lnTo>
              <a:lnTo>
                <a:pt x="272" y="99"/>
              </a:lnTo>
              <a:close/>
              <a:moveTo>
                <a:pt x="48" y="206"/>
              </a:moveTo>
              <a:lnTo>
                <a:pt x="13" y="185"/>
              </a:lnTo>
              <a:lnTo>
                <a:pt x="13" y="185"/>
              </a:lnTo>
              <a:lnTo>
                <a:pt x="8" y="183"/>
              </a:lnTo>
              <a:lnTo>
                <a:pt x="4" y="183"/>
              </a:lnTo>
              <a:lnTo>
                <a:pt x="0" y="186"/>
              </a:lnTo>
              <a:lnTo>
                <a:pt x="0" y="192"/>
              </a:lnTo>
              <a:lnTo>
                <a:pt x="0" y="237"/>
              </a:lnTo>
              <a:lnTo>
                <a:pt x="0" y="237"/>
              </a:lnTo>
              <a:lnTo>
                <a:pt x="0" y="243"/>
              </a:lnTo>
              <a:lnTo>
                <a:pt x="4" y="244"/>
              </a:lnTo>
              <a:lnTo>
                <a:pt x="8" y="246"/>
              </a:lnTo>
              <a:lnTo>
                <a:pt x="13" y="244"/>
              </a:lnTo>
              <a:lnTo>
                <a:pt x="48" y="223"/>
              </a:lnTo>
              <a:lnTo>
                <a:pt x="48" y="223"/>
              </a:lnTo>
              <a:lnTo>
                <a:pt x="51" y="219"/>
              </a:lnTo>
              <a:lnTo>
                <a:pt x="53" y="214"/>
              </a:lnTo>
              <a:lnTo>
                <a:pt x="51" y="210"/>
              </a:lnTo>
              <a:lnTo>
                <a:pt x="48" y="206"/>
              </a:lnTo>
              <a:lnTo>
                <a:pt x="48" y="206"/>
              </a:lnTo>
              <a:close/>
              <a:moveTo>
                <a:pt x="272" y="192"/>
              </a:moveTo>
              <a:lnTo>
                <a:pt x="91" y="192"/>
              </a:lnTo>
              <a:lnTo>
                <a:pt x="91" y="192"/>
              </a:lnTo>
              <a:lnTo>
                <a:pt x="86" y="192"/>
              </a:lnTo>
              <a:lnTo>
                <a:pt x="80" y="195"/>
              </a:lnTo>
              <a:lnTo>
                <a:pt x="77" y="201"/>
              </a:lnTo>
              <a:lnTo>
                <a:pt x="75" y="206"/>
              </a:lnTo>
              <a:lnTo>
                <a:pt x="75" y="221"/>
              </a:lnTo>
              <a:lnTo>
                <a:pt x="75" y="221"/>
              </a:lnTo>
              <a:lnTo>
                <a:pt x="77" y="228"/>
              </a:lnTo>
              <a:lnTo>
                <a:pt x="80" y="232"/>
              </a:lnTo>
              <a:lnTo>
                <a:pt x="86" y="235"/>
              </a:lnTo>
              <a:lnTo>
                <a:pt x="91" y="237"/>
              </a:lnTo>
              <a:lnTo>
                <a:pt x="272" y="237"/>
              </a:lnTo>
              <a:lnTo>
                <a:pt x="272" y="237"/>
              </a:lnTo>
              <a:lnTo>
                <a:pt x="278" y="235"/>
              </a:lnTo>
              <a:lnTo>
                <a:pt x="283" y="232"/>
              </a:lnTo>
              <a:lnTo>
                <a:pt x="287" y="228"/>
              </a:lnTo>
              <a:lnTo>
                <a:pt x="287" y="221"/>
              </a:lnTo>
              <a:lnTo>
                <a:pt x="287" y="206"/>
              </a:lnTo>
              <a:lnTo>
                <a:pt x="287" y="206"/>
              </a:lnTo>
              <a:lnTo>
                <a:pt x="287" y="201"/>
              </a:lnTo>
              <a:lnTo>
                <a:pt x="283" y="195"/>
              </a:lnTo>
              <a:lnTo>
                <a:pt x="278" y="192"/>
              </a:lnTo>
              <a:lnTo>
                <a:pt x="272" y="192"/>
              </a:lnTo>
              <a:lnTo>
                <a:pt x="272" y="192"/>
              </a:lnTo>
              <a:close/>
            </a:path>
          </a:pathLst>
        </a:custGeom>
        <a:solidFill>
          <a:srgbClr val="01B9D5"/>
        </a:solidFill>
        <a:ln w="9525">
          <a:noFill/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15</xdr:col>
      <xdr:colOff>153861</xdr:colOff>
      <xdr:row>0</xdr:row>
      <xdr:rowOff>40660</xdr:rowOff>
    </xdr:from>
    <xdr:to>
      <xdr:col>15</xdr:col>
      <xdr:colOff>297882</xdr:colOff>
      <xdr:row>1</xdr:row>
      <xdr:rowOff>21989</xdr:rowOff>
    </xdr:to>
    <xdr:sp macro="mail1" textlink="">
      <xdr:nvSpPr>
        <xdr:cNvPr id="267" name="Freeform 266">
          <a:extLst>
            <a:ext uri="{FF2B5EF4-FFF2-40B4-BE49-F238E27FC236}">
              <a16:creationId xmlns:a16="http://schemas.microsoft.com/office/drawing/2014/main" xmlns="" id="{00000000-0008-0000-0000-000037010000}"/>
            </a:ext>
          </a:extLst>
        </xdr:cNvPr>
        <xdr:cNvSpPr>
          <a:spLocks/>
        </xdr:cNvSpPr>
      </xdr:nvSpPr>
      <xdr:spPr bwMode="auto">
        <a:xfrm>
          <a:off x="9297861" y="40660"/>
          <a:ext cx="144021" cy="162304"/>
        </a:xfrm>
        <a:custGeom>
          <a:avLst/>
          <a:gdLst>
            <a:gd name="T0" fmla="*/ 166 w 166"/>
            <a:gd name="T1" fmla="*/ 7 h 166"/>
            <a:gd name="T2" fmla="*/ 142 w 166"/>
            <a:gd name="T3" fmla="*/ 149 h 166"/>
            <a:gd name="T4" fmla="*/ 139 w 166"/>
            <a:gd name="T5" fmla="*/ 153 h 166"/>
            <a:gd name="T6" fmla="*/ 136 w 166"/>
            <a:gd name="T7" fmla="*/ 154 h 166"/>
            <a:gd name="T8" fmla="*/ 134 w 166"/>
            <a:gd name="T9" fmla="*/ 154 h 166"/>
            <a:gd name="T10" fmla="*/ 92 w 166"/>
            <a:gd name="T11" fmla="*/ 137 h 166"/>
            <a:gd name="T12" fmla="*/ 70 w 166"/>
            <a:gd name="T13" fmla="*/ 164 h 166"/>
            <a:gd name="T14" fmla="*/ 65 w 166"/>
            <a:gd name="T15" fmla="*/ 166 h 166"/>
            <a:gd name="T16" fmla="*/ 63 w 166"/>
            <a:gd name="T17" fmla="*/ 166 h 166"/>
            <a:gd name="T18" fmla="*/ 59 w 166"/>
            <a:gd name="T19" fmla="*/ 160 h 166"/>
            <a:gd name="T20" fmla="*/ 59 w 166"/>
            <a:gd name="T21" fmla="*/ 128 h 166"/>
            <a:gd name="T22" fmla="*/ 139 w 166"/>
            <a:gd name="T23" fmla="*/ 30 h 166"/>
            <a:gd name="T24" fmla="*/ 40 w 166"/>
            <a:gd name="T25" fmla="*/ 115 h 166"/>
            <a:gd name="T26" fmla="*/ 4 w 166"/>
            <a:gd name="T27" fmla="*/ 100 h 166"/>
            <a:gd name="T28" fmla="*/ 0 w 166"/>
            <a:gd name="T29" fmla="*/ 95 h 166"/>
            <a:gd name="T30" fmla="*/ 3 w 166"/>
            <a:gd name="T31" fmla="*/ 90 h 166"/>
            <a:gd name="T32" fmla="*/ 157 w 166"/>
            <a:gd name="T33" fmla="*/ 1 h 166"/>
            <a:gd name="T34" fmla="*/ 160 w 166"/>
            <a:gd name="T35" fmla="*/ 0 h 166"/>
            <a:gd name="T36" fmla="*/ 163 w 166"/>
            <a:gd name="T37" fmla="*/ 1 h 166"/>
            <a:gd name="T38" fmla="*/ 166 w 166"/>
            <a:gd name="T39" fmla="*/ 7 h 1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66" h="166">
              <a:moveTo>
                <a:pt x="166" y="7"/>
              </a:moveTo>
              <a:cubicBezTo>
                <a:pt x="142" y="149"/>
                <a:pt x="142" y="149"/>
                <a:pt x="142" y="149"/>
              </a:cubicBezTo>
              <a:cubicBezTo>
                <a:pt x="142" y="151"/>
                <a:pt x="141" y="152"/>
                <a:pt x="139" y="153"/>
              </a:cubicBezTo>
              <a:cubicBezTo>
                <a:pt x="138" y="154"/>
                <a:pt x="137" y="154"/>
                <a:pt x="136" y="154"/>
              </a:cubicBezTo>
              <a:cubicBezTo>
                <a:pt x="135" y="154"/>
                <a:pt x="135" y="154"/>
                <a:pt x="134" y="154"/>
              </a:cubicBezTo>
              <a:cubicBezTo>
                <a:pt x="92" y="137"/>
                <a:pt x="92" y="137"/>
                <a:pt x="92" y="137"/>
              </a:cubicBezTo>
              <a:cubicBezTo>
                <a:pt x="70" y="164"/>
                <a:pt x="70" y="164"/>
                <a:pt x="70" y="164"/>
              </a:cubicBezTo>
              <a:cubicBezTo>
                <a:pt x="69" y="165"/>
                <a:pt x="67" y="166"/>
                <a:pt x="65" y="166"/>
              </a:cubicBezTo>
              <a:cubicBezTo>
                <a:pt x="65" y="166"/>
                <a:pt x="64" y="166"/>
                <a:pt x="63" y="166"/>
              </a:cubicBezTo>
              <a:cubicBezTo>
                <a:pt x="61" y="165"/>
                <a:pt x="59" y="163"/>
                <a:pt x="59" y="160"/>
              </a:cubicBezTo>
              <a:cubicBezTo>
                <a:pt x="59" y="128"/>
                <a:pt x="59" y="128"/>
                <a:pt x="59" y="128"/>
              </a:cubicBezTo>
              <a:cubicBezTo>
                <a:pt x="139" y="30"/>
                <a:pt x="139" y="30"/>
                <a:pt x="139" y="30"/>
              </a:cubicBezTo>
              <a:cubicBezTo>
                <a:pt x="40" y="115"/>
                <a:pt x="40" y="115"/>
                <a:pt x="40" y="115"/>
              </a:cubicBezTo>
              <a:cubicBezTo>
                <a:pt x="4" y="100"/>
                <a:pt x="4" y="100"/>
                <a:pt x="4" y="100"/>
              </a:cubicBezTo>
              <a:cubicBezTo>
                <a:pt x="2" y="100"/>
                <a:pt x="0" y="98"/>
                <a:pt x="0" y="95"/>
              </a:cubicBezTo>
              <a:cubicBezTo>
                <a:pt x="0" y="93"/>
                <a:pt x="1" y="91"/>
                <a:pt x="3" y="90"/>
              </a:cubicBezTo>
              <a:cubicBezTo>
                <a:pt x="157" y="1"/>
                <a:pt x="157" y="1"/>
                <a:pt x="157" y="1"/>
              </a:cubicBezTo>
              <a:cubicBezTo>
                <a:pt x="158" y="1"/>
                <a:pt x="159" y="0"/>
                <a:pt x="160" y="0"/>
              </a:cubicBezTo>
              <a:cubicBezTo>
                <a:pt x="161" y="0"/>
                <a:pt x="162" y="1"/>
                <a:pt x="163" y="1"/>
              </a:cubicBezTo>
              <a:cubicBezTo>
                <a:pt x="165" y="3"/>
                <a:pt x="166" y="5"/>
                <a:pt x="166" y="7"/>
              </a:cubicBezTo>
              <a:close/>
            </a:path>
          </a:pathLst>
        </a:custGeom>
        <a:solidFill>
          <a:srgbClr val="4D515D"/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14</xdr:col>
      <xdr:colOff>510012</xdr:colOff>
      <xdr:row>0</xdr:row>
      <xdr:rowOff>167051</xdr:rowOff>
    </xdr:from>
    <xdr:to>
      <xdr:col>16</xdr:col>
      <xdr:colOff>21338</xdr:colOff>
      <xdr:row>2</xdr:row>
      <xdr:rowOff>143445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/>
      </xdr:nvSpPr>
      <xdr:spPr>
        <a:xfrm>
          <a:off x="9044412" y="167051"/>
          <a:ext cx="730526" cy="347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Email Stats</a:t>
          </a:r>
        </a:p>
      </xdr:txBody>
    </xdr:sp>
    <xdr:clientData/>
  </xdr:twoCellAnchor>
  <xdr:twoCellAnchor>
    <xdr:from>
      <xdr:col>13</xdr:col>
      <xdr:colOff>515874</xdr:colOff>
      <xdr:row>0</xdr:row>
      <xdr:rowOff>167052</xdr:rowOff>
    </xdr:from>
    <xdr:to>
      <xdr:col>15</xdr:col>
      <xdr:colOff>27199</xdr:colOff>
      <xdr:row>2</xdr:row>
      <xdr:rowOff>143446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xmlns="" id="{00000000-0008-0000-0000-000046010000}"/>
            </a:ext>
          </a:extLst>
        </xdr:cNvPr>
        <xdr:cNvSpPr txBox="1"/>
      </xdr:nvSpPr>
      <xdr:spPr>
        <a:xfrm>
          <a:off x="8440674" y="167052"/>
          <a:ext cx="730525" cy="347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Full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367169</xdr:colOff>
      <xdr:row>0</xdr:row>
      <xdr:rowOff>167052</xdr:rowOff>
    </xdr:from>
    <xdr:to>
      <xdr:col>14</xdr:col>
      <xdr:colOff>85819</xdr:colOff>
      <xdr:row>2</xdr:row>
      <xdr:rowOff>143446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xmlns="" id="{00000000-0008-0000-0000-00004F010000}"/>
            </a:ext>
          </a:extLst>
        </xdr:cNvPr>
        <xdr:cNvSpPr txBox="1"/>
      </xdr:nvSpPr>
      <xdr:spPr>
        <a:xfrm>
          <a:off x="7682369" y="167052"/>
          <a:ext cx="937850" cy="347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Normal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328309</xdr:colOff>
      <xdr:row>0</xdr:row>
      <xdr:rowOff>161190</xdr:rowOff>
    </xdr:from>
    <xdr:to>
      <xdr:col>12</xdr:col>
      <xdr:colOff>466819</xdr:colOff>
      <xdr:row>2</xdr:row>
      <xdr:rowOff>137584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xmlns="" id="{00000000-0008-0000-0000-000058010000}"/>
            </a:ext>
          </a:extLst>
        </xdr:cNvPr>
        <xdr:cNvSpPr txBox="1"/>
      </xdr:nvSpPr>
      <xdr:spPr>
        <a:xfrm>
          <a:off x="7033909" y="161190"/>
          <a:ext cx="748110" cy="347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Show Mode</a:t>
          </a:r>
        </a:p>
      </xdr:txBody>
    </xdr:sp>
    <xdr:clientData/>
  </xdr:twoCellAnchor>
  <xdr:twoCellAnchor>
    <xdr:from>
      <xdr:col>14</xdr:col>
      <xdr:colOff>109262</xdr:colOff>
      <xdr:row>0</xdr:row>
      <xdr:rowOff>28575</xdr:rowOff>
    </xdr:from>
    <xdr:to>
      <xdr:col>14</xdr:col>
      <xdr:colOff>273384</xdr:colOff>
      <xdr:row>1</xdr:row>
      <xdr:rowOff>21228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xmlns="" id="{00000000-0008-0000-0000-00005B010000}"/>
            </a:ext>
          </a:extLst>
        </xdr:cNvPr>
        <xdr:cNvGrpSpPr/>
      </xdr:nvGrpSpPr>
      <xdr:grpSpPr>
        <a:xfrm>
          <a:off x="8643662" y="28575"/>
          <a:ext cx="164122" cy="183153"/>
          <a:chOff x="5237163" y="4730750"/>
          <a:chExt cx="1019175" cy="965200"/>
        </a:xfrm>
        <a:solidFill>
          <a:srgbClr val="4D515D"/>
        </a:solidFill>
      </xdr:grpSpPr>
      <xdr:sp macro="[3]!fullscreen" textlink="">
        <xdr:nvSpPr>
          <xdr:cNvPr id="273" name="Freeform 272">
            <a:extLst>
              <a:ext uri="{FF2B5EF4-FFF2-40B4-BE49-F238E27FC236}">
                <a16:creationId xmlns:a16="http://schemas.microsoft.com/office/drawing/2014/main" xmlns="" id="{00000000-0008-0000-0000-00005C010000}"/>
              </a:ext>
            </a:extLst>
          </xdr:cNvPr>
          <xdr:cNvSpPr>
            <a:spLocks/>
          </xdr:cNvSpPr>
        </xdr:nvSpPr>
        <xdr:spPr bwMode="auto">
          <a:xfrm>
            <a:off x="5591176" y="5594350"/>
            <a:ext cx="311150" cy="101600"/>
          </a:xfrm>
          <a:custGeom>
            <a:avLst/>
            <a:gdLst>
              <a:gd name="T0" fmla="*/ 985 w 1172"/>
              <a:gd name="T1" fmla="*/ 0 h 384"/>
              <a:gd name="T2" fmla="*/ 1011 w 1172"/>
              <a:gd name="T3" fmla="*/ 163 h 384"/>
              <a:gd name="T4" fmla="*/ 1016 w 1172"/>
              <a:gd name="T5" fmla="*/ 186 h 384"/>
              <a:gd name="T6" fmla="*/ 1031 w 1172"/>
              <a:gd name="T7" fmla="*/ 222 h 384"/>
              <a:gd name="T8" fmla="*/ 1061 w 1172"/>
              <a:gd name="T9" fmla="*/ 263 h 384"/>
              <a:gd name="T10" fmla="*/ 1103 w 1172"/>
              <a:gd name="T11" fmla="*/ 297 h 384"/>
              <a:gd name="T12" fmla="*/ 1138 w 1172"/>
              <a:gd name="T13" fmla="*/ 325 h 384"/>
              <a:gd name="T14" fmla="*/ 1161 w 1172"/>
              <a:gd name="T15" fmla="*/ 348 h 384"/>
              <a:gd name="T16" fmla="*/ 1172 w 1172"/>
              <a:gd name="T17" fmla="*/ 365 h 384"/>
              <a:gd name="T18" fmla="*/ 1163 w 1172"/>
              <a:gd name="T19" fmla="*/ 378 h 384"/>
              <a:gd name="T20" fmla="*/ 1137 w 1172"/>
              <a:gd name="T21" fmla="*/ 382 h 384"/>
              <a:gd name="T22" fmla="*/ 1088 w 1172"/>
              <a:gd name="T23" fmla="*/ 383 h 384"/>
              <a:gd name="T24" fmla="*/ 1017 w 1172"/>
              <a:gd name="T25" fmla="*/ 384 h 384"/>
              <a:gd name="T26" fmla="*/ 932 w 1172"/>
              <a:gd name="T27" fmla="*/ 384 h 384"/>
              <a:gd name="T28" fmla="*/ 839 w 1172"/>
              <a:gd name="T29" fmla="*/ 383 h 384"/>
              <a:gd name="T30" fmla="*/ 751 w 1172"/>
              <a:gd name="T31" fmla="*/ 383 h 384"/>
              <a:gd name="T32" fmla="*/ 674 w 1172"/>
              <a:gd name="T33" fmla="*/ 382 h 384"/>
              <a:gd name="T34" fmla="*/ 615 w 1172"/>
              <a:gd name="T35" fmla="*/ 382 h 384"/>
              <a:gd name="T36" fmla="*/ 586 w 1172"/>
              <a:gd name="T37" fmla="*/ 381 h 384"/>
              <a:gd name="T38" fmla="*/ 557 w 1172"/>
              <a:gd name="T39" fmla="*/ 382 h 384"/>
              <a:gd name="T40" fmla="*/ 498 w 1172"/>
              <a:gd name="T41" fmla="*/ 382 h 384"/>
              <a:gd name="T42" fmla="*/ 421 w 1172"/>
              <a:gd name="T43" fmla="*/ 383 h 384"/>
              <a:gd name="T44" fmla="*/ 333 w 1172"/>
              <a:gd name="T45" fmla="*/ 383 h 384"/>
              <a:gd name="T46" fmla="*/ 240 w 1172"/>
              <a:gd name="T47" fmla="*/ 384 h 384"/>
              <a:gd name="T48" fmla="*/ 155 w 1172"/>
              <a:gd name="T49" fmla="*/ 384 h 384"/>
              <a:gd name="T50" fmla="*/ 83 w 1172"/>
              <a:gd name="T51" fmla="*/ 383 h 384"/>
              <a:gd name="T52" fmla="*/ 35 w 1172"/>
              <a:gd name="T53" fmla="*/ 382 h 384"/>
              <a:gd name="T54" fmla="*/ 8 w 1172"/>
              <a:gd name="T55" fmla="*/ 378 h 384"/>
              <a:gd name="T56" fmla="*/ 0 w 1172"/>
              <a:gd name="T57" fmla="*/ 365 h 384"/>
              <a:gd name="T58" fmla="*/ 11 w 1172"/>
              <a:gd name="T59" fmla="*/ 348 h 384"/>
              <a:gd name="T60" fmla="*/ 34 w 1172"/>
              <a:gd name="T61" fmla="*/ 325 h 384"/>
              <a:gd name="T62" fmla="*/ 69 w 1172"/>
              <a:gd name="T63" fmla="*/ 297 h 384"/>
              <a:gd name="T64" fmla="*/ 111 w 1172"/>
              <a:gd name="T65" fmla="*/ 263 h 384"/>
              <a:gd name="T66" fmla="*/ 141 w 1172"/>
              <a:gd name="T67" fmla="*/ 222 h 384"/>
              <a:gd name="T68" fmla="*/ 156 w 1172"/>
              <a:gd name="T69" fmla="*/ 186 h 384"/>
              <a:gd name="T70" fmla="*/ 161 w 1172"/>
              <a:gd name="T71" fmla="*/ 162 h 384"/>
              <a:gd name="T72" fmla="*/ 187 w 1172"/>
              <a:gd name="T73" fmla="*/ 0 h 3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1172" h="384">
                <a:moveTo>
                  <a:pt x="187" y="0"/>
                </a:moveTo>
                <a:lnTo>
                  <a:pt x="985" y="0"/>
                </a:lnTo>
                <a:lnTo>
                  <a:pt x="1010" y="160"/>
                </a:lnTo>
                <a:lnTo>
                  <a:pt x="1011" y="163"/>
                </a:lnTo>
                <a:lnTo>
                  <a:pt x="1012" y="172"/>
                </a:lnTo>
                <a:lnTo>
                  <a:pt x="1016" y="186"/>
                </a:lnTo>
                <a:lnTo>
                  <a:pt x="1021" y="203"/>
                </a:lnTo>
                <a:lnTo>
                  <a:pt x="1031" y="222"/>
                </a:lnTo>
                <a:lnTo>
                  <a:pt x="1044" y="243"/>
                </a:lnTo>
                <a:lnTo>
                  <a:pt x="1061" y="263"/>
                </a:lnTo>
                <a:lnTo>
                  <a:pt x="1084" y="283"/>
                </a:lnTo>
                <a:lnTo>
                  <a:pt x="1103" y="297"/>
                </a:lnTo>
                <a:lnTo>
                  <a:pt x="1122" y="311"/>
                </a:lnTo>
                <a:lnTo>
                  <a:pt x="1138" y="325"/>
                </a:lnTo>
                <a:lnTo>
                  <a:pt x="1151" y="336"/>
                </a:lnTo>
                <a:lnTo>
                  <a:pt x="1161" y="348"/>
                </a:lnTo>
                <a:lnTo>
                  <a:pt x="1168" y="357"/>
                </a:lnTo>
                <a:lnTo>
                  <a:pt x="1172" y="365"/>
                </a:lnTo>
                <a:lnTo>
                  <a:pt x="1170" y="372"/>
                </a:lnTo>
                <a:lnTo>
                  <a:pt x="1163" y="378"/>
                </a:lnTo>
                <a:lnTo>
                  <a:pt x="1151" y="381"/>
                </a:lnTo>
                <a:lnTo>
                  <a:pt x="1137" y="382"/>
                </a:lnTo>
                <a:lnTo>
                  <a:pt x="1116" y="383"/>
                </a:lnTo>
                <a:lnTo>
                  <a:pt x="1088" y="383"/>
                </a:lnTo>
                <a:lnTo>
                  <a:pt x="1055" y="384"/>
                </a:lnTo>
                <a:lnTo>
                  <a:pt x="1017" y="384"/>
                </a:lnTo>
                <a:lnTo>
                  <a:pt x="975" y="384"/>
                </a:lnTo>
                <a:lnTo>
                  <a:pt x="932" y="384"/>
                </a:lnTo>
                <a:lnTo>
                  <a:pt x="886" y="384"/>
                </a:lnTo>
                <a:lnTo>
                  <a:pt x="839" y="383"/>
                </a:lnTo>
                <a:lnTo>
                  <a:pt x="794" y="383"/>
                </a:lnTo>
                <a:lnTo>
                  <a:pt x="751" y="383"/>
                </a:lnTo>
                <a:lnTo>
                  <a:pt x="710" y="382"/>
                </a:lnTo>
                <a:lnTo>
                  <a:pt x="674" y="382"/>
                </a:lnTo>
                <a:lnTo>
                  <a:pt x="641" y="382"/>
                </a:lnTo>
                <a:lnTo>
                  <a:pt x="615" y="382"/>
                </a:lnTo>
                <a:lnTo>
                  <a:pt x="597" y="381"/>
                </a:lnTo>
                <a:lnTo>
                  <a:pt x="586" y="381"/>
                </a:lnTo>
                <a:lnTo>
                  <a:pt x="575" y="381"/>
                </a:lnTo>
                <a:lnTo>
                  <a:pt x="557" y="382"/>
                </a:lnTo>
                <a:lnTo>
                  <a:pt x="531" y="382"/>
                </a:lnTo>
                <a:lnTo>
                  <a:pt x="498" y="382"/>
                </a:lnTo>
                <a:lnTo>
                  <a:pt x="462" y="382"/>
                </a:lnTo>
                <a:lnTo>
                  <a:pt x="421" y="383"/>
                </a:lnTo>
                <a:lnTo>
                  <a:pt x="378" y="383"/>
                </a:lnTo>
                <a:lnTo>
                  <a:pt x="333" y="383"/>
                </a:lnTo>
                <a:lnTo>
                  <a:pt x="286" y="384"/>
                </a:lnTo>
                <a:lnTo>
                  <a:pt x="240" y="384"/>
                </a:lnTo>
                <a:lnTo>
                  <a:pt x="196" y="384"/>
                </a:lnTo>
                <a:lnTo>
                  <a:pt x="155" y="384"/>
                </a:lnTo>
                <a:lnTo>
                  <a:pt x="117" y="384"/>
                </a:lnTo>
                <a:lnTo>
                  <a:pt x="83" y="383"/>
                </a:lnTo>
                <a:lnTo>
                  <a:pt x="56" y="383"/>
                </a:lnTo>
                <a:lnTo>
                  <a:pt x="35" y="382"/>
                </a:lnTo>
                <a:lnTo>
                  <a:pt x="21" y="381"/>
                </a:lnTo>
                <a:lnTo>
                  <a:pt x="8" y="378"/>
                </a:lnTo>
                <a:lnTo>
                  <a:pt x="1" y="372"/>
                </a:lnTo>
                <a:lnTo>
                  <a:pt x="0" y="365"/>
                </a:lnTo>
                <a:lnTo>
                  <a:pt x="2" y="357"/>
                </a:lnTo>
                <a:lnTo>
                  <a:pt x="11" y="348"/>
                </a:lnTo>
                <a:lnTo>
                  <a:pt x="21" y="336"/>
                </a:lnTo>
                <a:lnTo>
                  <a:pt x="34" y="325"/>
                </a:lnTo>
                <a:lnTo>
                  <a:pt x="50" y="311"/>
                </a:lnTo>
                <a:lnTo>
                  <a:pt x="69" y="297"/>
                </a:lnTo>
                <a:lnTo>
                  <a:pt x="88" y="283"/>
                </a:lnTo>
                <a:lnTo>
                  <a:pt x="111" y="263"/>
                </a:lnTo>
                <a:lnTo>
                  <a:pt x="127" y="243"/>
                </a:lnTo>
                <a:lnTo>
                  <a:pt x="141" y="222"/>
                </a:lnTo>
                <a:lnTo>
                  <a:pt x="151" y="202"/>
                </a:lnTo>
                <a:lnTo>
                  <a:pt x="156" y="186"/>
                </a:lnTo>
                <a:lnTo>
                  <a:pt x="160" y="172"/>
                </a:lnTo>
                <a:lnTo>
                  <a:pt x="161" y="162"/>
                </a:lnTo>
                <a:lnTo>
                  <a:pt x="162" y="160"/>
                </a:lnTo>
                <a:lnTo>
                  <a:pt x="18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3]!fullscreen" textlink="">
        <xdr:nvSpPr>
          <xdr:cNvPr id="274" name="Freeform 273">
            <a:extLst>
              <a:ext uri="{FF2B5EF4-FFF2-40B4-BE49-F238E27FC236}">
                <a16:creationId xmlns:a16="http://schemas.microsoft.com/office/drawing/2014/main" xmlns="" id="{00000000-0008-0000-0000-00005D010000}"/>
              </a:ext>
            </a:extLst>
          </xdr:cNvPr>
          <xdr:cNvSpPr>
            <a:spLocks/>
          </xdr:cNvSpPr>
        </xdr:nvSpPr>
        <xdr:spPr bwMode="auto">
          <a:xfrm>
            <a:off x="5495926" y="5226050"/>
            <a:ext cx="217488" cy="115888"/>
          </a:xfrm>
          <a:custGeom>
            <a:avLst/>
            <a:gdLst>
              <a:gd name="T0" fmla="*/ 577 w 822"/>
              <a:gd name="T1" fmla="*/ 3 h 439"/>
              <a:gd name="T2" fmla="*/ 634 w 822"/>
              <a:gd name="T3" fmla="*/ 19 h 439"/>
              <a:gd name="T4" fmla="*/ 690 w 822"/>
              <a:gd name="T5" fmla="*/ 46 h 439"/>
              <a:gd name="T6" fmla="*/ 739 w 822"/>
              <a:gd name="T7" fmla="*/ 81 h 439"/>
              <a:gd name="T8" fmla="*/ 780 w 822"/>
              <a:gd name="T9" fmla="*/ 123 h 439"/>
              <a:gd name="T10" fmla="*/ 808 w 822"/>
              <a:gd name="T11" fmla="*/ 169 h 439"/>
              <a:gd name="T12" fmla="*/ 822 w 822"/>
              <a:gd name="T13" fmla="*/ 217 h 439"/>
              <a:gd name="T14" fmla="*/ 817 w 822"/>
              <a:gd name="T15" fmla="*/ 263 h 439"/>
              <a:gd name="T16" fmla="*/ 791 w 822"/>
              <a:gd name="T17" fmla="*/ 307 h 439"/>
              <a:gd name="T18" fmla="*/ 741 w 822"/>
              <a:gd name="T19" fmla="*/ 346 h 439"/>
              <a:gd name="T20" fmla="*/ 662 w 822"/>
              <a:gd name="T21" fmla="*/ 380 h 439"/>
              <a:gd name="T22" fmla="*/ 567 w 822"/>
              <a:gd name="T23" fmla="*/ 407 h 439"/>
              <a:gd name="T24" fmla="*/ 472 w 822"/>
              <a:gd name="T25" fmla="*/ 424 h 439"/>
              <a:gd name="T26" fmla="*/ 376 w 822"/>
              <a:gd name="T27" fmla="*/ 435 h 439"/>
              <a:gd name="T28" fmla="*/ 286 w 822"/>
              <a:gd name="T29" fmla="*/ 439 h 439"/>
              <a:gd name="T30" fmla="*/ 202 w 822"/>
              <a:gd name="T31" fmla="*/ 436 h 439"/>
              <a:gd name="T32" fmla="*/ 130 w 822"/>
              <a:gd name="T33" fmla="*/ 432 h 439"/>
              <a:gd name="T34" fmla="*/ 70 w 822"/>
              <a:gd name="T35" fmla="*/ 423 h 439"/>
              <a:gd name="T36" fmla="*/ 27 w 822"/>
              <a:gd name="T37" fmla="*/ 415 h 439"/>
              <a:gd name="T38" fmla="*/ 4 w 822"/>
              <a:gd name="T39" fmla="*/ 406 h 439"/>
              <a:gd name="T40" fmla="*/ 2 w 822"/>
              <a:gd name="T41" fmla="*/ 399 h 439"/>
              <a:gd name="T42" fmla="*/ 27 w 822"/>
              <a:gd name="T43" fmla="*/ 394 h 439"/>
              <a:gd name="T44" fmla="*/ 96 w 822"/>
              <a:gd name="T45" fmla="*/ 392 h 439"/>
              <a:gd name="T46" fmla="*/ 170 w 822"/>
              <a:gd name="T47" fmla="*/ 384 h 439"/>
              <a:gd name="T48" fmla="*/ 226 w 822"/>
              <a:gd name="T49" fmla="*/ 364 h 439"/>
              <a:gd name="T50" fmla="*/ 268 w 822"/>
              <a:gd name="T51" fmla="*/ 330 h 439"/>
              <a:gd name="T52" fmla="*/ 301 w 822"/>
              <a:gd name="T53" fmla="*/ 281 h 439"/>
              <a:gd name="T54" fmla="*/ 329 w 822"/>
              <a:gd name="T55" fmla="*/ 214 h 439"/>
              <a:gd name="T56" fmla="*/ 360 w 822"/>
              <a:gd name="T57" fmla="*/ 127 h 439"/>
              <a:gd name="T58" fmla="*/ 393 w 822"/>
              <a:gd name="T59" fmla="*/ 66 h 439"/>
              <a:gd name="T60" fmla="*/ 438 w 822"/>
              <a:gd name="T61" fmla="*/ 25 h 439"/>
              <a:gd name="T62" fmla="*/ 490 w 822"/>
              <a:gd name="T63" fmla="*/ 4 h 439"/>
              <a:gd name="T64" fmla="*/ 546 w 822"/>
              <a:gd name="T65" fmla="*/ 0 h 4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22" h="439">
                <a:moveTo>
                  <a:pt x="546" y="0"/>
                </a:moveTo>
                <a:lnTo>
                  <a:pt x="577" y="3"/>
                </a:lnTo>
                <a:lnTo>
                  <a:pt x="606" y="10"/>
                </a:lnTo>
                <a:lnTo>
                  <a:pt x="634" y="19"/>
                </a:lnTo>
                <a:lnTo>
                  <a:pt x="663" y="31"/>
                </a:lnTo>
                <a:lnTo>
                  <a:pt x="690" y="46"/>
                </a:lnTo>
                <a:lnTo>
                  <a:pt x="716" y="63"/>
                </a:lnTo>
                <a:lnTo>
                  <a:pt x="739" y="81"/>
                </a:lnTo>
                <a:lnTo>
                  <a:pt x="761" y="101"/>
                </a:lnTo>
                <a:lnTo>
                  <a:pt x="780" y="123"/>
                </a:lnTo>
                <a:lnTo>
                  <a:pt x="795" y="145"/>
                </a:lnTo>
                <a:lnTo>
                  <a:pt x="808" y="169"/>
                </a:lnTo>
                <a:lnTo>
                  <a:pt x="817" y="192"/>
                </a:lnTo>
                <a:lnTo>
                  <a:pt x="822" y="217"/>
                </a:lnTo>
                <a:lnTo>
                  <a:pt x="822" y="240"/>
                </a:lnTo>
                <a:lnTo>
                  <a:pt x="817" y="263"/>
                </a:lnTo>
                <a:lnTo>
                  <a:pt x="807" y="286"/>
                </a:lnTo>
                <a:lnTo>
                  <a:pt x="791" y="307"/>
                </a:lnTo>
                <a:lnTo>
                  <a:pt x="769" y="328"/>
                </a:lnTo>
                <a:lnTo>
                  <a:pt x="741" y="346"/>
                </a:lnTo>
                <a:lnTo>
                  <a:pt x="707" y="363"/>
                </a:lnTo>
                <a:lnTo>
                  <a:pt x="662" y="380"/>
                </a:lnTo>
                <a:lnTo>
                  <a:pt x="615" y="394"/>
                </a:lnTo>
                <a:lnTo>
                  <a:pt x="567" y="407"/>
                </a:lnTo>
                <a:lnTo>
                  <a:pt x="519" y="416"/>
                </a:lnTo>
                <a:lnTo>
                  <a:pt x="472" y="424"/>
                </a:lnTo>
                <a:lnTo>
                  <a:pt x="424" y="430"/>
                </a:lnTo>
                <a:lnTo>
                  <a:pt x="376" y="435"/>
                </a:lnTo>
                <a:lnTo>
                  <a:pt x="330" y="437"/>
                </a:lnTo>
                <a:lnTo>
                  <a:pt x="286" y="439"/>
                </a:lnTo>
                <a:lnTo>
                  <a:pt x="243" y="439"/>
                </a:lnTo>
                <a:lnTo>
                  <a:pt x="202" y="436"/>
                </a:lnTo>
                <a:lnTo>
                  <a:pt x="165" y="435"/>
                </a:lnTo>
                <a:lnTo>
                  <a:pt x="130" y="432"/>
                </a:lnTo>
                <a:lnTo>
                  <a:pt x="98" y="428"/>
                </a:lnTo>
                <a:lnTo>
                  <a:pt x="70" y="423"/>
                </a:lnTo>
                <a:lnTo>
                  <a:pt x="47" y="420"/>
                </a:lnTo>
                <a:lnTo>
                  <a:pt x="27" y="415"/>
                </a:lnTo>
                <a:lnTo>
                  <a:pt x="13" y="410"/>
                </a:lnTo>
                <a:lnTo>
                  <a:pt x="4" y="406"/>
                </a:lnTo>
                <a:lnTo>
                  <a:pt x="0" y="402"/>
                </a:lnTo>
                <a:lnTo>
                  <a:pt x="2" y="399"/>
                </a:lnTo>
                <a:lnTo>
                  <a:pt x="12" y="396"/>
                </a:lnTo>
                <a:lnTo>
                  <a:pt x="27" y="394"/>
                </a:lnTo>
                <a:lnTo>
                  <a:pt x="50" y="394"/>
                </a:lnTo>
                <a:lnTo>
                  <a:pt x="96" y="392"/>
                </a:lnTo>
                <a:lnTo>
                  <a:pt x="137" y="389"/>
                </a:lnTo>
                <a:lnTo>
                  <a:pt x="170" y="384"/>
                </a:lnTo>
                <a:lnTo>
                  <a:pt x="201" y="374"/>
                </a:lnTo>
                <a:lnTo>
                  <a:pt x="226" y="364"/>
                </a:lnTo>
                <a:lnTo>
                  <a:pt x="249" y="349"/>
                </a:lnTo>
                <a:lnTo>
                  <a:pt x="268" y="330"/>
                </a:lnTo>
                <a:lnTo>
                  <a:pt x="285" y="308"/>
                </a:lnTo>
                <a:lnTo>
                  <a:pt x="301" y="281"/>
                </a:lnTo>
                <a:lnTo>
                  <a:pt x="315" y="251"/>
                </a:lnTo>
                <a:lnTo>
                  <a:pt x="329" y="214"/>
                </a:lnTo>
                <a:lnTo>
                  <a:pt x="344" y="173"/>
                </a:lnTo>
                <a:lnTo>
                  <a:pt x="360" y="127"/>
                </a:lnTo>
                <a:lnTo>
                  <a:pt x="375" y="93"/>
                </a:lnTo>
                <a:lnTo>
                  <a:pt x="393" y="66"/>
                </a:lnTo>
                <a:lnTo>
                  <a:pt x="414" y="43"/>
                </a:lnTo>
                <a:lnTo>
                  <a:pt x="438" y="25"/>
                </a:lnTo>
                <a:lnTo>
                  <a:pt x="463" y="12"/>
                </a:lnTo>
                <a:lnTo>
                  <a:pt x="490" y="4"/>
                </a:lnTo>
                <a:lnTo>
                  <a:pt x="518" y="1"/>
                </a:lnTo>
                <a:lnTo>
                  <a:pt x="5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3]!fullscreen" textlink="">
        <xdr:nvSpPr>
          <xdr:cNvPr id="275" name="Freeform 274">
            <a:extLst>
              <a:ext uri="{FF2B5EF4-FFF2-40B4-BE49-F238E27FC236}">
                <a16:creationId xmlns:a16="http://schemas.microsoft.com/office/drawing/2014/main" xmlns="" id="{00000000-0008-0000-0000-00005E010000}"/>
              </a:ext>
            </a:extLst>
          </xdr:cNvPr>
          <xdr:cNvSpPr>
            <a:spLocks noEditPoints="1"/>
          </xdr:cNvSpPr>
        </xdr:nvSpPr>
        <xdr:spPr bwMode="auto">
          <a:xfrm>
            <a:off x="5675313" y="4730750"/>
            <a:ext cx="431800" cy="512763"/>
          </a:xfrm>
          <a:custGeom>
            <a:avLst/>
            <a:gdLst>
              <a:gd name="T0" fmla="*/ 1407 w 1633"/>
              <a:gd name="T1" fmla="*/ 59 h 1940"/>
              <a:gd name="T2" fmla="*/ 1367 w 1633"/>
              <a:gd name="T3" fmla="*/ 63 h 1940"/>
              <a:gd name="T4" fmla="*/ 1320 w 1633"/>
              <a:gd name="T5" fmla="*/ 75 h 1940"/>
              <a:gd name="T6" fmla="*/ 1273 w 1633"/>
              <a:gd name="T7" fmla="*/ 100 h 1940"/>
              <a:gd name="T8" fmla="*/ 1227 w 1633"/>
              <a:gd name="T9" fmla="*/ 140 h 1940"/>
              <a:gd name="T10" fmla="*/ 1228 w 1633"/>
              <a:gd name="T11" fmla="*/ 184 h 1940"/>
              <a:gd name="T12" fmla="*/ 1257 w 1633"/>
              <a:gd name="T13" fmla="*/ 210 h 1940"/>
              <a:gd name="T14" fmla="*/ 1273 w 1633"/>
              <a:gd name="T15" fmla="*/ 224 h 1940"/>
              <a:gd name="T16" fmla="*/ 1277 w 1633"/>
              <a:gd name="T17" fmla="*/ 228 h 1940"/>
              <a:gd name="T18" fmla="*/ 1280 w 1633"/>
              <a:gd name="T19" fmla="*/ 219 h 1940"/>
              <a:gd name="T20" fmla="*/ 1292 w 1633"/>
              <a:gd name="T21" fmla="*/ 194 h 1940"/>
              <a:gd name="T22" fmla="*/ 1322 w 1633"/>
              <a:gd name="T23" fmla="*/ 158 h 1940"/>
              <a:gd name="T24" fmla="*/ 1369 w 1633"/>
              <a:gd name="T25" fmla="*/ 112 h 1940"/>
              <a:gd name="T26" fmla="*/ 1444 w 1633"/>
              <a:gd name="T27" fmla="*/ 60 h 1940"/>
              <a:gd name="T28" fmla="*/ 1434 w 1633"/>
              <a:gd name="T29" fmla="*/ 59 h 1940"/>
              <a:gd name="T30" fmla="*/ 1437 w 1633"/>
              <a:gd name="T31" fmla="*/ 0 h 1940"/>
              <a:gd name="T32" fmla="*/ 1501 w 1633"/>
              <a:gd name="T33" fmla="*/ 11 h 1940"/>
              <a:gd name="T34" fmla="*/ 1557 w 1633"/>
              <a:gd name="T35" fmla="*/ 43 h 1940"/>
              <a:gd name="T36" fmla="*/ 1601 w 1633"/>
              <a:gd name="T37" fmla="*/ 92 h 1940"/>
              <a:gd name="T38" fmla="*/ 1626 w 1633"/>
              <a:gd name="T39" fmla="*/ 151 h 1940"/>
              <a:gd name="T40" fmla="*/ 1633 w 1633"/>
              <a:gd name="T41" fmla="*/ 220 h 1940"/>
              <a:gd name="T42" fmla="*/ 1623 w 1633"/>
              <a:gd name="T43" fmla="*/ 293 h 1940"/>
              <a:gd name="T44" fmla="*/ 1595 w 1633"/>
              <a:gd name="T45" fmla="*/ 366 h 1940"/>
              <a:gd name="T46" fmla="*/ 1550 w 1633"/>
              <a:gd name="T47" fmla="*/ 436 h 1940"/>
              <a:gd name="T48" fmla="*/ 243 w 1633"/>
              <a:gd name="T49" fmla="*/ 1862 h 1940"/>
              <a:gd name="T50" fmla="*/ 210 w 1633"/>
              <a:gd name="T51" fmla="*/ 1903 h 1940"/>
              <a:gd name="T52" fmla="*/ 187 w 1633"/>
              <a:gd name="T53" fmla="*/ 1928 h 1940"/>
              <a:gd name="T54" fmla="*/ 169 w 1633"/>
              <a:gd name="T55" fmla="*/ 1939 h 1940"/>
              <a:gd name="T56" fmla="*/ 151 w 1633"/>
              <a:gd name="T57" fmla="*/ 1936 h 1940"/>
              <a:gd name="T58" fmla="*/ 129 w 1633"/>
              <a:gd name="T59" fmla="*/ 1922 h 1940"/>
              <a:gd name="T60" fmla="*/ 98 w 1633"/>
              <a:gd name="T61" fmla="*/ 1897 h 1940"/>
              <a:gd name="T62" fmla="*/ 57 w 1633"/>
              <a:gd name="T63" fmla="*/ 1864 h 1940"/>
              <a:gd name="T64" fmla="*/ 25 w 1633"/>
              <a:gd name="T65" fmla="*/ 1838 h 1940"/>
              <a:gd name="T66" fmla="*/ 6 w 1633"/>
              <a:gd name="T67" fmla="*/ 1820 h 1940"/>
              <a:gd name="T68" fmla="*/ 0 w 1633"/>
              <a:gd name="T69" fmla="*/ 1803 h 1940"/>
              <a:gd name="T70" fmla="*/ 7 w 1633"/>
              <a:gd name="T71" fmla="*/ 1783 h 1940"/>
              <a:gd name="T72" fmla="*/ 27 w 1633"/>
              <a:gd name="T73" fmla="*/ 1755 h 1940"/>
              <a:gd name="T74" fmla="*/ 60 w 1633"/>
              <a:gd name="T75" fmla="*/ 1715 h 1940"/>
              <a:gd name="T76" fmla="*/ 1176 w 1633"/>
              <a:gd name="T77" fmla="*/ 134 h 1940"/>
              <a:gd name="T78" fmla="*/ 1234 w 1633"/>
              <a:gd name="T79" fmla="*/ 75 h 1940"/>
              <a:gd name="T80" fmla="*/ 1299 w 1633"/>
              <a:gd name="T81" fmla="*/ 32 h 1940"/>
              <a:gd name="T82" fmla="*/ 1368 w 1633"/>
              <a:gd name="T83" fmla="*/ 7 h 1940"/>
              <a:gd name="T84" fmla="*/ 1437 w 1633"/>
              <a:gd name="T85" fmla="*/ 0 h 19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633" h="1940">
                <a:moveTo>
                  <a:pt x="1422" y="59"/>
                </a:moveTo>
                <a:lnTo>
                  <a:pt x="1407" y="59"/>
                </a:lnTo>
                <a:lnTo>
                  <a:pt x="1388" y="60"/>
                </a:lnTo>
                <a:lnTo>
                  <a:pt x="1367" y="63"/>
                </a:lnTo>
                <a:lnTo>
                  <a:pt x="1345" y="67"/>
                </a:lnTo>
                <a:lnTo>
                  <a:pt x="1320" y="75"/>
                </a:lnTo>
                <a:lnTo>
                  <a:pt x="1296" y="86"/>
                </a:lnTo>
                <a:lnTo>
                  <a:pt x="1273" y="100"/>
                </a:lnTo>
                <a:lnTo>
                  <a:pt x="1249" y="117"/>
                </a:lnTo>
                <a:lnTo>
                  <a:pt x="1227" y="140"/>
                </a:lnTo>
                <a:lnTo>
                  <a:pt x="1207" y="168"/>
                </a:lnTo>
                <a:lnTo>
                  <a:pt x="1228" y="184"/>
                </a:lnTo>
                <a:lnTo>
                  <a:pt x="1245" y="198"/>
                </a:lnTo>
                <a:lnTo>
                  <a:pt x="1257" y="210"/>
                </a:lnTo>
                <a:lnTo>
                  <a:pt x="1267" y="218"/>
                </a:lnTo>
                <a:lnTo>
                  <a:pt x="1273" y="224"/>
                </a:lnTo>
                <a:lnTo>
                  <a:pt x="1276" y="227"/>
                </a:lnTo>
                <a:lnTo>
                  <a:pt x="1277" y="228"/>
                </a:lnTo>
                <a:lnTo>
                  <a:pt x="1277" y="226"/>
                </a:lnTo>
                <a:lnTo>
                  <a:pt x="1280" y="219"/>
                </a:lnTo>
                <a:lnTo>
                  <a:pt x="1285" y="208"/>
                </a:lnTo>
                <a:lnTo>
                  <a:pt x="1292" y="194"/>
                </a:lnTo>
                <a:lnTo>
                  <a:pt x="1305" y="177"/>
                </a:lnTo>
                <a:lnTo>
                  <a:pt x="1322" y="158"/>
                </a:lnTo>
                <a:lnTo>
                  <a:pt x="1343" y="136"/>
                </a:lnTo>
                <a:lnTo>
                  <a:pt x="1369" y="112"/>
                </a:lnTo>
                <a:lnTo>
                  <a:pt x="1403" y="87"/>
                </a:lnTo>
                <a:lnTo>
                  <a:pt x="1444" y="60"/>
                </a:lnTo>
                <a:lnTo>
                  <a:pt x="1442" y="60"/>
                </a:lnTo>
                <a:lnTo>
                  <a:pt x="1434" y="59"/>
                </a:lnTo>
                <a:lnTo>
                  <a:pt x="1422" y="59"/>
                </a:lnTo>
                <a:close/>
                <a:moveTo>
                  <a:pt x="1437" y="0"/>
                </a:moveTo>
                <a:lnTo>
                  <a:pt x="1470" y="3"/>
                </a:lnTo>
                <a:lnTo>
                  <a:pt x="1501" y="11"/>
                </a:lnTo>
                <a:lnTo>
                  <a:pt x="1530" y="24"/>
                </a:lnTo>
                <a:lnTo>
                  <a:pt x="1557" y="43"/>
                </a:lnTo>
                <a:lnTo>
                  <a:pt x="1582" y="65"/>
                </a:lnTo>
                <a:lnTo>
                  <a:pt x="1601" y="92"/>
                </a:lnTo>
                <a:lnTo>
                  <a:pt x="1616" y="120"/>
                </a:lnTo>
                <a:lnTo>
                  <a:pt x="1626" y="151"/>
                </a:lnTo>
                <a:lnTo>
                  <a:pt x="1632" y="185"/>
                </a:lnTo>
                <a:lnTo>
                  <a:pt x="1633" y="220"/>
                </a:lnTo>
                <a:lnTo>
                  <a:pt x="1630" y="256"/>
                </a:lnTo>
                <a:lnTo>
                  <a:pt x="1623" y="293"/>
                </a:lnTo>
                <a:lnTo>
                  <a:pt x="1611" y="330"/>
                </a:lnTo>
                <a:lnTo>
                  <a:pt x="1595" y="366"/>
                </a:lnTo>
                <a:lnTo>
                  <a:pt x="1575" y="402"/>
                </a:lnTo>
                <a:lnTo>
                  <a:pt x="1550" y="436"/>
                </a:lnTo>
                <a:lnTo>
                  <a:pt x="264" y="1835"/>
                </a:lnTo>
                <a:lnTo>
                  <a:pt x="243" y="1862"/>
                </a:lnTo>
                <a:lnTo>
                  <a:pt x="225" y="1884"/>
                </a:lnTo>
                <a:lnTo>
                  <a:pt x="210" y="1903"/>
                </a:lnTo>
                <a:lnTo>
                  <a:pt x="197" y="1918"/>
                </a:lnTo>
                <a:lnTo>
                  <a:pt x="187" y="1928"/>
                </a:lnTo>
                <a:lnTo>
                  <a:pt x="178" y="1935"/>
                </a:lnTo>
                <a:lnTo>
                  <a:pt x="169" y="1939"/>
                </a:lnTo>
                <a:lnTo>
                  <a:pt x="160" y="1940"/>
                </a:lnTo>
                <a:lnTo>
                  <a:pt x="151" y="1936"/>
                </a:lnTo>
                <a:lnTo>
                  <a:pt x="140" y="1931"/>
                </a:lnTo>
                <a:lnTo>
                  <a:pt x="129" y="1922"/>
                </a:lnTo>
                <a:lnTo>
                  <a:pt x="115" y="1911"/>
                </a:lnTo>
                <a:lnTo>
                  <a:pt x="98" y="1897"/>
                </a:lnTo>
                <a:lnTo>
                  <a:pt x="77" y="1880"/>
                </a:lnTo>
                <a:lnTo>
                  <a:pt x="57" y="1864"/>
                </a:lnTo>
                <a:lnTo>
                  <a:pt x="40" y="1850"/>
                </a:lnTo>
                <a:lnTo>
                  <a:pt x="25" y="1838"/>
                </a:lnTo>
                <a:lnTo>
                  <a:pt x="14" y="1829"/>
                </a:lnTo>
                <a:lnTo>
                  <a:pt x="6" y="1820"/>
                </a:lnTo>
                <a:lnTo>
                  <a:pt x="1" y="1811"/>
                </a:lnTo>
                <a:lnTo>
                  <a:pt x="0" y="1803"/>
                </a:lnTo>
                <a:lnTo>
                  <a:pt x="3" y="1794"/>
                </a:lnTo>
                <a:lnTo>
                  <a:pt x="7" y="1783"/>
                </a:lnTo>
                <a:lnTo>
                  <a:pt x="15" y="1771"/>
                </a:lnTo>
                <a:lnTo>
                  <a:pt x="27" y="1755"/>
                </a:lnTo>
                <a:lnTo>
                  <a:pt x="42" y="1737"/>
                </a:lnTo>
                <a:lnTo>
                  <a:pt x="60" y="1715"/>
                </a:lnTo>
                <a:lnTo>
                  <a:pt x="82" y="1688"/>
                </a:lnTo>
                <a:lnTo>
                  <a:pt x="1176" y="134"/>
                </a:lnTo>
                <a:lnTo>
                  <a:pt x="1204" y="102"/>
                </a:lnTo>
                <a:lnTo>
                  <a:pt x="1234" y="75"/>
                </a:lnTo>
                <a:lnTo>
                  <a:pt x="1266" y="52"/>
                </a:lnTo>
                <a:lnTo>
                  <a:pt x="1299" y="32"/>
                </a:lnTo>
                <a:lnTo>
                  <a:pt x="1333" y="17"/>
                </a:lnTo>
                <a:lnTo>
                  <a:pt x="1368" y="7"/>
                </a:lnTo>
                <a:lnTo>
                  <a:pt x="1403" y="1"/>
                </a:lnTo>
                <a:lnTo>
                  <a:pt x="143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3]!fullscreen" textlink="">
        <xdr:nvSpPr>
          <xdr:cNvPr id="276" name="Freeform 275">
            <a:extLst>
              <a:ext uri="{FF2B5EF4-FFF2-40B4-BE49-F238E27FC236}">
                <a16:creationId xmlns:a16="http://schemas.microsoft.com/office/drawing/2014/main" xmlns="" id="{00000000-0008-0000-0000-00005F010000}"/>
              </a:ext>
            </a:extLst>
          </xdr:cNvPr>
          <xdr:cNvSpPr>
            <a:spLocks/>
          </xdr:cNvSpPr>
        </xdr:nvSpPr>
        <xdr:spPr bwMode="auto">
          <a:xfrm>
            <a:off x="5237163" y="4881563"/>
            <a:ext cx="1019175" cy="671513"/>
          </a:xfrm>
          <a:custGeom>
            <a:avLst/>
            <a:gdLst>
              <a:gd name="T0" fmla="*/ 154 w 3852"/>
              <a:gd name="T1" fmla="*/ 0 h 2543"/>
              <a:gd name="T2" fmla="*/ 2366 w 3852"/>
              <a:gd name="T3" fmla="*/ 0 h 2543"/>
              <a:gd name="T4" fmla="*/ 2203 w 3852"/>
              <a:gd name="T5" fmla="*/ 231 h 2543"/>
              <a:gd name="T6" fmla="*/ 231 w 3852"/>
              <a:gd name="T7" fmla="*/ 231 h 2543"/>
              <a:gd name="T8" fmla="*/ 231 w 3852"/>
              <a:gd name="T9" fmla="*/ 2081 h 2543"/>
              <a:gd name="T10" fmla="*/ 3621 w 3852"/>
              <a:gd name="T11" fmla="*/ 2081 h 2543"/>
              <a:gd name="T12" fmla="*/ 3621 w 3852"/>
              <a:gd name="T13" fmla="*/ 231 h 2543"/>
              <a:gd name="T14" fmla="*/ 3005 w 3852"/>
              <a:gd name="T15" fmla="*/ 231 h 2543"/>
              <a:gd name="T16" fmla="*/ 3217 w 3852"/>
              <a:gd name="T17" fmla="*/ 0 h 2543"/>
              <a:gd name="T18" fmla="*/ 3698 w 3852"/>
              <a:gd name="T19" fmla="*/ 0 h 2543"/>
              <a:gd name="T20" fmla="*/ 3729 w 3852"/>
              <a:gd name="T21" fmla="*/ 2 h 2543"/>
              <a:gd name="T22" fmla="*/ 3757 w 3852"/>
              <a:gd name="T23" fmla="*/ 12 h 2543"/>
              <a:gd name="T24" fmla="*/ 3784 w 3852"/>
              <a:gd name="T25" fmla="*/ 26 h 2543"/>
              <a:gd name="T26" fmla="*/ 3806 w 3852"/>
              <a:gd name="T27" fmla="*/ 44 h 2543"/>
              <a:gd name="T28" fmla="*/ 3825 w 3852"/>
              <a:gd name="T29" fmla="*/ 68 h 2543"/>
              <a:gd name="T30" fmla="*/ 3840 w 3852"/>
              <a:gd name="T31" fmla="*/ 93 h 2543"/>
              <a:gd name="T32" fmla="*/ 3848 w 3852"/>
              <a:gd name="T33" fmla="*/ 123 h 2543"/>
              <a:gd name="T34" fmla="*/ 3852 w 3852"/>
              <a:gd name="T35" fmla="*/ 154 h 2543"/>
              <a:gd name="T36" fmla="*/ 3852 w 3852"/>
              <a:gd name="T37" fmla="*/ 2388 h 2543"/>
              <a:gd name="T38" fmla="*/ 3848 w 3852"/>
              <a:gd name="T39" fmla="*/ 2419 h 2543"/>
              <a:gd name="T40" fmla="*/ 3840 w 3852"/>
              <a:gd name="T41" fmla="*/ 2448 h 2543"/>
              <a:gd name="T42" fmla="*/ 3825 w 3852"/>
              <a:gd name="T43" fmla="*/ 2474 h 2543"/>
              <a:gd name="T44" fmla="*/ 3806 w 3852"/>
              <a:gd name="T45" fmla="*/ 2497 h 2543"/>
              <a:gd name="T46" fmla="*/ 3784 w 3852"/>
              <a:gd name="T47" fmla="*/ 2516 h 2543"/>
              <a:gd name="T48" fmla="*/ 3757 w 3852"/>
              <a:gd name="T49" fmla="*/ 2530 h 2543"/>
              <a:gd name="T50" fmla="*/ 3729 w 3852"/>
              <a:gd name="T51" fmla="*/ 2539 h 2543"/>
              <a:gd name="T52" fmla="*/ 3698 w 3852"/>
              <a:gd name="T53" fmla="*/ 2543 h 2543"/>
              <a:gd name="T54" fmla="*/ 154 w 3852"/>
              <a:gd name="T55" fmla="*/ 2543 h 2543"/>
              <a:gd name="T56" fmla="*/ 123 w 3852"/>
              <a:gd name="T57" fmla="*/ 2539 h 2543"/>
              <a:gd name="T58" fmla="*/ 95 w 3852"/>
              <a:gd name="T59" fmla="*/ 2530 h 2543"/>
              <a:gd name="T60" fmla="*/ 68 w 3852"/>
              <a:gd name="T61" fmla="*/ 2516 h 2543"/>
              <a:gd name="T62" fmla="*/ 46 w 3852"/>
              <a:gd name="T63" fmla="*/ 2497 h 2543"/>
              <a:gd name="T64" fmla="*/ 27 w 3852"/>
              <a:gd name="T65" fmla="*/ 2474 h 2543"/>
              <a:gd name="T66" fmla="*/ 12 w 3852"/>
              <a:gd name="T67" fmla="*/ 2448 h 2543"/>
              <a:gd name="T68" fmla="*/ 4 w 3852"/>
              <a:gd name="T69" fmla="*/ 2419 h 2543"/>
              <a:gd name="T70" fmla="*/ 0 w 3852"/>
              <a:gd name="T71" fmla="*/ 2388 h 2543"/>
              <a:gd name="T72" fmla="*/ 0 w 3852"/>
              <a:gd name="T73" fmla="*/ 154 h 2543"/>
              <a:gd name="T74" fmla="*/ 4 w 3852"/>
              <a:gd name="T75" fmla="*/ 123 h 2543"/>
              <a:gd name="T76" fmla="*/ 12 w 3852"/>
              <a:gd name="T77" fmla="*/ 93 h 2543"/>
              <a:gd name="T78" fmla="*/ 27 w 3852"/>
              <a:gd name="T79" fmla="*/ 68 h 2543"/>
              <a:gd name="T80" fmla="*/ 46 w 3852"/>
              <a:gd name="T81" fmla="*/ 44 h 2543"/>
              <a:gd name="T82" fmla="*/ 68 w 3852"/>
              <a:gd name="T83" fmla="*/ 26 h 2543"/>
              <a:gd name="T84" fmla="*/ 95 w 3852"/>
              <a:gd name="T85" fmla="*/ 12 h 2543"/>
              <a:gd name="T86" fmla="*/ 123 w 3852"/>
              <a:gd name="T87" fmla="*/ 2 h 2543"/>
              <a:gd name="T88" fmla="*/ 154 w 3852"/>
              <a:gd name="T89" fmla="*/ 0 h 25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852" h="2543">
                <a:moveTo>
                  <a:pt x="154" y="0"/>
                </a:moveTo>
                <a:lnTo>
                  <a:pt x="2366" y="0"/>
                </a:lnTo>
                <a:lnTo>
                  <a:pt x="2203" y="231"/>
                </a:lnTo>
                <a:lnTo>
                  <a:pt x="231" y="231"/>
                </a:lnTo>
                <a:lnTo>
                  <a:pt x="231" y="2081"/>
                </a:lnTo>
                <a:lnTo>
                  <a:pt x="3621" y="2081"/>
                </a:lnTo>
                <a:lnTo>
                  <a:pt x="3621" y="231"/>
                </a:lnTo>
                <a:lnTo>
                  <a:pt x="3005" y="231"/>
                </a:lnTo>
                <a:lnTo>
                  <a:pt x="3217" y="0"/>
                </a:lnTo>
                <a:lnTo>
                  <a:pt x="3698" y="0"/>
                </a:lnTo>
                <a:lnTo>
                  <a:pt x="3729" y="2"/>
                </a:lnTo>
                <a:lnTo>
                  <a:pt x="3757" y="12"/>
                </a:lnTo>
                <a:lnTo>
                  <a:pt x="3784" y="26"/>
                </a:lnTo>
                <a:lnTo>
                  <a:pt x="3806" y="44"/>
                </a:lnTo>
                <a:lnTo>
                  <a:pt x="3825" y="68"/>
                </a:lnTo>
                <a:lnTo>
                  <a:pt x="3840" y="93"/>
                </a:lnTo>
                <a:lnTo>
                  <a:pt x="3848" y="123"/>
                </a:lnTo>
                <a:lnTo>
                  <a:pt x="3852" y="154"/>
                </a:lnTo>
                <a:lnTo>
                  <a:pt x="3852" y="2388"/>
                </a:lnTo>
                <a:lnTo>
                  <a:pt x="3848" y="2419"/>
                </a:lnTo>
                <a:lnTo>
                  <a:pt x="3840" y="2448"/>
                </a:lnTo>
                <a:lnTo>
                  <a:pt x="3825" y="2474"/>
                </a:lnTo>
                <a:lnTo>
                  <a:pt x="3806" y="2497"/>
                </a:lnTo>
                <a:lnTo>
                  <a:pt x="3784" y="2516"/>
                </a:lnTo>
                <a:lnTo>
                  <a:pt x="3757" y="2530"/>
                </a:lnTo>
                <a:lnTo>
                  <a:pt x="3729" y="2539"/>
                </a:lnTo>
                <a:lnTo>
                  <a:pt x="3698" y="2543"/>
                </a:lnTo>
                <a:lnTo>
                  <a:pt x="154" y="2543"/>
                </a:lnTo>
                <a:lnTo>
                  <a:pt x="123" y="2539"/>
                </a:lnTo>
                <a:lnTo>
                  <a:pt x="95" y="2530"/>
                </a:lnTo>
                <a:lnTo>
                  <a:pt x="68" y="2516"/>
                </a:lnTo>
                <a:lnTo>
                  <a:pt x="46" y="2497"/>
                </a:lnTo>
                <a:lnTo>
                  <a:pt x="27" y="2474"/>
                </a:lnTo>
                <a:lnTo>
                  <a:pt x="12" y="2448"/>
                </a:lnTo>
                <a:lnTo>
                  <a:pt x="4" y="2419"/>
                </a:lnTo>
                <a:lnTo>
                  <a:pt x="0" y="2388"/>
                </a:lnTo>
                <a:lnTo>
                  <a:pt x="0" y="154"/>
                </a:lnTo>
                <a:lnTo>
                  <a:pt x="4" y="123"/>
                </a:lnTo>
                <a:lnTo>
                  <a:pt x="12" y="93"/>
                </a:lnTo>
                <a:lnTo>
                  <a:pt x="27" y="68"/>
                </a:lnTo>
                <a:lnTo>
                  <a:pt x="46" y="44"/>
                </a:lnTo>
                <a:lnTo>
                  <a:pt x="68" y="26"/>
                </a:lnTo>
                <a:lnTo>
                  <a:pt x="95" y="12"/>
                </a:lnTo>
                <a:lnTo>
                  <a:pt x="123" y="2"/>
                </a:lnTo>
                <a:lnTo>
                  <a:pt x="1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13</xdr:col>
      <xdr:colOff>66992</xdr:colOff>
      <xdr:row>0</xdr:row>
      <xdr:rowOff>53570</xdr:rowOff>
    </xdr:from>
    <xdr:to>
      <xdr:col>13</xdr:col>
      <xdr:colOff>201172</xdr:colOff>
      <xdr:row>1</xdr:row>
      <xdr:rowOff>10438</xdr:rowOff>
    </xdr:to>
    <xdr:sp macro="[3]!normal" textlink="">
      <xdr:nvSpPr>
        <xdr:cNvPr id="277" name="Freeform 276">
          <a:extLst>
            <a:ext uri="{FF2B5EF4-FFF2-40B4-BE49-F238E27FC236}">
              <a16:creationId xmlns:a16="http://schemas.microsoft.com/office/drawing/2014/main" xmlns="" id="{00000000-0008-0000-0000-000060010000}"/>
            </a:ext>
          </a:extLst>
        </xdr:cNvPr>
        <xdr:cNvSpPr>
          <a:spLocks noEditPoints="1"/>
        </xdr:cNvSpPr>
      </xdr:nvSpPr>
      <xdr:spPr bwMode="auto">
        <a:xfrm>
          <a:off x="7991792" y="53570"/>
          <a:ext cx="134180" cy="137843"/>
        </a:xfrm>
        <a:custGeom>
          <a:avLst/>
          <a:gdLst>
            <a:gd name="T0" fmla="*/ 62 w 150"/>
            <a:gd name="T1" fmla="*/ 72 h 150"/>
            <a:gd name="T2" fmla="*/ 0 w 150"/>
            <a:gd name="T3" fmla="*/ 72 h 150"/>
            <a:gd name="T4" fmla="*/ 0 w 150"/>
            <a:gd name="T5" fmla="*/ 21 h 150"/>
            <a:gd name="T6" fmla="*/ 62 w 150"/>
            <a:gd name="T7" fmla="*/ 13 h 150"/>
            <a:gd name="T8" fmla="*/ 62 w 150"/>
            <a:gd name="T9" fmla="*/ 72 h 150"/>
            <a:gd name="T10" fmla="*/ 62 w 150"/>
            <a:gd name="T11" fmla="*/ 138 h 150"/>
            <a:gd name="T12" fmla="*/ 0 w 150"/>
            <a:gd name="T13" fmla="*/ 130 h 150"/>
            <a:gd name="T14" fmla="*/ 0 w 150"/>
            <a:gd name="T15" fmla="*/ 79 h 150"/>
            <a:gd name="T16" fmla="*/ 62 w 150"/>
            <a:gd name="T17" fmla="*/ 79 h 150"/>
            <a:gd name="T18" fmla="*/ 62 w 150"/>
            <a:gd name="T19" fmla="*/ 138 h 150"/>
            <a:gd name="T20" fmla="*/ 150 w 150"/>
            <a:gd name="T21" fmla="*/ 72 h 150"/>
            <a:gd name="T22" fmla="*/ 68 w 150"/>
            <a:gd name="T23" fmla="*/ 72 h 150"/>
            <a:gd name="T24" fmla="*/ 68 w 150"/>
            <a:gd name="T25" fmla="*/ 12 h 150"/>
            <a:gd name="T26" fmla="*/ 150 w 150"/>
            <a:gd name="T27" fmla="*/ 0 h 150"/>
            <a:gd name="T28" fmla="*/ 150 w 150"/>
            <a:gd name="T29" fmla="*/ 72 h 150"/>
            <a:gd name="T30" fmla="*/ 150 w 150"/>
            <a:gd name="T31" fmla="*/ 150 h 150"/>
            <a:gd name="T32" fmla="*/ 68 w 150"/>
            <a:gd name="T33" fmla="*/ 139 h 150"/>
            <a:gd name="T34" fmla="*/ 68 w 150"/>
            <a:gd name="T35" fmla="*/ 79 h 150"/>
            <a:gd name="T36" fmla="*/ 150 w 150"/>
            <a:gd name="T37" fmla="*/ 79 h 150"/>
            <a:gd name="T38" fmla="*/ 150 w 150"/>
            <a:gd name="T39" fmla="*/ 150 h 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50" h="150">
              <a:moveTo>
                <a:pt x="62" y="72"/>
              </a:moveTo>
              <a:lnTo>
                <a:pt x="0" y="72"/>
              </a:lnTo>
              <a:lnTo>
                <a:pt x="0" y="21"/>
              </a:lnTo>
              <a:lnTo>
                <a:pt x="62" y="13"/>
              </a:lnTo>
              <a:lnTo>
                <a:pt x="62" y="72"/>
              </a:lnTo>
              <a:close/>
              <a:moveTo>
                <a:pt x="62" y="138"/>
              </a:moveTo>
              <a:lnTo>
                <a:pt x="0" y="130"/>
              </a:lnTo>
              <a:lnTo>
                <a:pt x="0" y="79"/>
              </a:lnTo>
              <a:lnTo>
                <a:pt x="62" y="79"/>
              </a:lnTo>
              <a:lnTo>
                <a:pt x="62" y="138"/>
              </a:lnTo>
              <a:close/>
              <a:moveTo>
                <a:pt x="150" y="72"/>
              </a:moveTo>
              <a:lnTo>
                <a:pt x="68" y="72"/>
              </a:lnTo>
              <a:lnTo>
                <a:pt x="68" y="12"/>
              </a:lnTo>
              <a:lnTo>
                <a:pt x="150" y="0"/>
              </a:lnTo>
              <a:lnTo>
                <a:pt x="150" y="72"/>
              </a:lnTo>
              <a:close/>
              <a:moveTo>
                <a:pt x="150" y="150"/>
              </a:moveTo>
              <a:lnTo>
                <a:pt x="68" y="139"/>
              </a:lnTo>
              <a:lnTo>
                <a:pt x="68" y="79"/>
              </a:lnTo>
              <a:lnTo>
                <a:pt x="150" y="79"/>
              </a:lnTo>
              <a:lnTo>
                <a:pt x="150" y="150"/>
              </a:lnTo>
              <a:close/>
            </a:path>
          </a:pathLst>
        </a:custGeom>
        <a:solidFill>
          <a:srgbClr val="4D515D"/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11</xdr:col>
      <xdr:colOff>607726</xdr:colOff>
      <xdr:row>0</xdr:row>
      <xdr:rowOff>55620</xdr:rowOff>
    </xdr:from>
    <xdr:to>
      <xdr:col>12</xdr:col>
      <xdr:colOff>145694</xdr:colOff>
      <xdr:row>0</xdr:row>
      <xdr:rowOff>174109</xdr:rowOff>
    </xdr:to>
    <xdr:sp macro="[3]!showmode" textlink="">
      <xdr:nvSpPr>
        <xdr:cNvPr id="278" name="Freeform 277">
          <a:extLst>
            <a:ext uri="{FF2B5EF4-FFF2-40B4-BE49-F238E27FC236}">
              <a16:creationId xmlns:a16="http://schemas.microsoft.com/office/drawing/2014/main" xmlns="" id="{00000000-0008-0000-0000-000062010000}"/>
            </a:ext>
          </a:extLst>
        </xdr:cNvPr>
        <xdr:cNvSpPr>
          <a:spLocks/>
        </xdr:cNvSpPr>
      </xdr:nvSpPr>
      <xdr:spPr bwMode="auto">
        <a:xfrm>
          <a:off x="7313326" y="55620"/>
          <a:ext cx="147568" cy="118489"/>
        </a:xfrm>
        <a:custGeom>
          <a:avLst/>
          <a:gdLst>
            <a:gd name="T0" fmla="*/ 166 w 166"/>
            <a:gd name="T1" fmla="*/ 109 h 118"/>
            <a:gd name="T2" fmla="*/ 162 w 166"/>
            <a:gd name="T3" fmla="*/ 115 h 118"/>
            <a:gd name="T4" fmla="*/ 160 w 166"/>
            <a:gd name="T5" fmla="*/ 115 h 118"/>
            <a:gd name="T6" fmla="*/ 156 w 166"/>
            <a:gd name="T7" fmla="*/ 114 h 118"/>
            <a:gd name="T8" fmla="*/ 119 w 166"/>
            <a:gd name="T9" fmla="*/ 76 h 118"/>
            <a:gd name="T10" fmla="*/ 119 w 166"/>
            <a:gd name="T11" fmla="*/ 92 h 118"/>
            <a:gd name="T12" fmla="*/ 92 w 166"/>
            <a:gd name="T13" fmla="*/ 118 h 118"/>
            <a:gd name="T14" fmla="*/ 27 w 166"/>
            <a:gd name="T15" fmla="*/ 118 h 118"/>
            <a:gd name="T16" fmla="*/ 0 w 166"/>
            <a:gd name="T17" fmla="*/ 92 h 118"/>
            <a:gd name="T18" fmla="*/ 0 w 166"/>
            <a:gd name="T19" fmla="*/ 27 h 118"/>
            <a:gd name="T20" fmla="*/ 27 w 166"/>
            <a:gd name="T21" fmla="*/ 0 h 118"/>
            <a:gd name="T22" fmla="*/ 92 w 166"/>
            <a:gd name="T23" fmla="*/ 0 h 118"/>
            <a:gd name="T24" fmla="*/ 119 w 166"/>
            <a:gd name="T25" fmla="*/ 27 h 118"/>
            <a:gd name="T26" fmla="*/ 119 w 166"/>
            <a:gd name="T27" fmla="*/ 42 h 118"/>
            <a:gd name="T28" fmla="*/ 156 w 166"/>
            <a:gd name="T29" fmla="*/ 5 h 118"/>
            <a:gd name="T30" fmla="*/ 160 w 166"/>
            <a:gd name="T31" fmla="*/ 3 h 118"/>
            <a:gd name="T32" fmla="*/ 162 w 166"/>
            <a:gd name="T33" fmla="*/ 3 h 118"/>
            <a:gd name="T34" fmla="*/ 166 w 166"/>
            <a:gd name="T35" fmla="*/ 9 h 118"/>
            <a:gd name="T36" fmla="*/ 166 w 166"/>
            <a:gd name="T37" fmla="*/ 109 h 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66" h="118">
              <a:moveTo>
                <a:pt x="166" y="109"/>
              </a:moveTo>
              <a:cubicBezTo>
                <a:pt x="166" y="112"/>
                <a:pt x="164" y="114"/>
                <a:pt x="162" y="115"/>
              </a:cubicBezTo>
              <a:cubicBezTo>
                <a:pt x="162" y="115"/>
                <a:pt x="161" y="115"/>
                <a:pt x="160" y="115"/>
              </a:cubicBezTo>
              <a:cubicBezTo>
                <a:pt x="158" y="115"/>
                <a:pt x="157" y="115"/>
                <a:pt x="156" y="114"/>
              </a:cubicBezTo>
              <a:cubicBezTo>
                <a:pt x="119" y="76"/>
                <a:pt x="119" y="76"/>
                <a:pt x="119" y="76"/>
              </a:cubicBezTo>
              <a:cubicBezTo>
                <a:pt x="119" y="92"/>
                <a:pt x="119" y="92"/>
                <a:pt x="119" y="92"/>
              </a:cubicBezTo>
              <a:cubicBezTo>
                <a:pt x="119" y="106"/>
                <a:pt x="107" y="118"/>
                <a:pt x="92" y="118"/>
              </a:cubicBezTo>
              <a:cubicBezTo>
                <a:pt x="27" y="118"/>
                <a:pt x="27" y="118"/>
                <a:pt x="27" y="118"/>
              </a:cubicBezTo>
              <a:cubicBezTo>
                <a:pt x="12" y="118"/>
                <a:pt x="0" y="106"/>
                <a:pt x="0" y="92"/>
              </a:cubicBezTo>
              <a:cubicBezTo>
                <a:pt x="0" y="27"/>
                <a:pt x="0" y="27"/>
                <a:pt x="0" y="27"/>
              </a:cubicBezTo>
              <a:cubicBezTo>
                <a:pt x="0" y="12"/>
                <a:pt x="12" y="0"/>
                <a:pt x="27" y="0"/>
              </a:cubicBezTo>
              <a:cubicBezTo>
                <a:pt x="92" y="0"/>
                <a:pt x="92" y="0"/>
                <a:pt x="92" y="0"/>
              </a:cubicBezTo>
              <a:cubicBezTo>
                <a:pt x="107" y="0"/>
                <a:pt x="119" y="12"/>
                <a:pt x="119" y="27"/>
              </a:cubicBezTo>
              <a:cubicBezTo>
                <a:pt x="119" y="42"/>
                <a:pt x="119" y="42"/>
                <a:pt x="119" y="42"/>
              </a:cubicBezTo>
              <a:cubicBezTo>
                <a:pt x="156" y="5"/>
                <a:pt x="156" y="5"/>
                <a:pt x="156" y="5"/>
              </a:cubicBezTo>
              <a:cubicBezTo>
                <a:pt x="157" y="4"/>
                <a:pt x="158" y="3"/>
                <a:pt x="160" y="3"/>
              </a:cubicBezTo>
              <a:cubicBezTo>
                <a:pt x="161" y="3"/>
                <a:pt x="162" y="3"/>
                <a:pt x="162" y="3"/>
              </a:cubicBezTo>
              <a:cubicBezTo>
                <a:pt x="164" y="4"/>
                <a:pt x="166" y="7"/>
                <a:pt x="166" y="9"/>
              </a:cubicBezTo>
              <a:lnTo>
                <a:pt x="166" y="109"/>
              </a:lnTo>
              <a:close/>
            </a:path>
          </a:pathLst>
        </a:custGeom>
        <a:solidFill>
          <a:srgbClr val="4D515D"/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28575</xdr:colOff>
      <xdr:row>32</xdr:row>
      <xdr:rowOff>142875</xdr:rowOff>
    </xdr:from>
    <xdr:to>
      <xdr:col>2</xdr:col>
      <xdr:colOff>607528</xdr:colOff>
      <xdr:row>37</xdr:row>
      <xdr:rowOff>98152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/>
      </xdr:nvSpPr>
      <xdr:spPr>
        <a:xfrm>
          <a:off x="28575" y="5943600"/>
          <a:ext cx="1798153" cy="869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93AB"/>
              </a:solidFill>
            </a:rPr>
            <a:t>1 - Sales figures are net after discount</a:t>
          </a:r>
          <a:endParaRPr lang="en-US" sz="700" baseline="0">
            <a:solidFill>
              <a:srgbClr val="0193AB"/>
            </a:solidFill>
          </a:endParaRPr>
        </a:p>
        <a:p>
          <a:r>
            <a:rPr lang="en-US" sz="700" baseline="0">
              <a:solidFill>
                <a:srgbClr val="0193AB"/>
              </a:solidFill>
            </a:rPr>
            <a:t>2 - Leaderboard comprises of employees who completed 1 year</a:t>
          </a:r>
          <a:endParaRPr lang="en-US" sz="700">
            <a:solidFill>
              <a:srgbClr val="0193A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7</xdr:row>
          <xdr:rowOff>28575</xdr:rowOff>
        </xdr:from>
        <xdr:to>
          <xdr:col>2</xdr:col>
          <xdr:colOff>352425</xdr:colOff>
          <xdr:row>12</xdr:row>
          <xdr:rowOff>95250</xdr:rowOff>
        </xdr:to>
        <xdr:pic>
          <xdr:nvPicPr>
            <xdr:cNvPr id="284" name="Picture 283"/>
            <xdr:cNvPicPr>
              <a:picLocks noChangeAspect="1" noChangeArrowheads="1"/>
              <a:extLst>
                <a:ext uri="{84589F7E-364E-4C9E-8A38-B11213B215E9}">
                  <a14:cameraTool cellRange="List!$J$2" spid="_x0000_s332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80975" y="1362075"/>
              <a:ext cx="1390650" cy="10191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="" xmlns:a16="http://schemas.microsoft.com/office/drawing/2014/main" id="{CE68FF1A-2C53-49C3-ADBD-436EBB872A5D}"/>
            </a:ext>
          </a:extLst>
        </cdr:cNvPr>
        <cdr:cNvSpPr/>
      </cdr:nvSpPr>
      <cdr:spPr>
        <a:xfrm xmlns:a="http://schemas.openxmlformats.org/drawingml/2006/main">
          <a:off x="0" y="15240"/>
          <a:ext cx="4244340" cy="210312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0.70849</cdr:x>
      <cdr:y>0.03377</cdr:y>
    </cdr:from>
    <cdr:to>
      <cdr:x>0.9831</cdr:x>
      <cdr:y>0.163</cdr:y>
    </cdr:to>
    <cdr:sp macro="" textlink="">
      <cdr:nvSpPr>
        <cdr:cNvPr id="3" name="TextBox 304">
          <a:extLst xmlns:a="http://schemas.openxmlformats.org/drawingml/2006/main">
            <a:ext uri="{FF2B5EF4-FFF2-40B4-BE49-F238E27FC236}">
              <a16:creationId xmlns="" xmlns:a16="http://schemas.microsoft.com/office/drawing/2014/main" id="{00000000-0008-0000-0000-000031010000}"/>
            </a:ext>
          </a:extLst>
        </cdr:cNvPr>
        <cdr:cNvSpPr txBox="1"/>
      </cdr:nvSpPr>
      <cdr:spPr>
        <a:xfrm xmlns:a="http://schemas.openxmlformats.org/drawingml/2006/main">
          <a:off x="2926080" y="58420"/>
          <a:ext cx="1134153" cy="2235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</xdr:row>
      <xdr:rowOff>19050</xdr:rowOff>
    </xdr:from>
    <xdr:to>
      <xdr:col>7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381000"/>
          <a:ext cx="1181100" cy="1352550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2</xdr:row>
      <xdr:rowOff>19050</xdr:rowOff>
    </xdr:from>
    <xdr:to>
      <xdr:col>7</xdr:col>
      <xdr:colOff>1</xdr:colOff>
      <xdr:row>3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951" y="2038350"/>
          <a:ext cx="1381125" cy="990600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3</xdr:row>
      <xdr:rowOff>9526</xdr:rowOff>
    </xdr:from>
    <xdr:to>
      <xdr:col>7</xdr:col>
      <xdr:colOff>47624</xdr:colOff>
      <xdr:row>4</xdr:row>
      <xdr:rowOff>28575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3038476"/>
          <a:ext cx="2057399" cy="1028699"/>
        </a:xfrm>
        <a:prstGeom prst="rect">
          <a:avLst/>
        </a:prstGeom>
      </xdr:spPr>
    </xdr:pic>
    <xdr:clientData/>
  </xdr:twoCellAnchor>
  <xdr:twoCellAnchor>
    <xdr:from>
      <xdr:col>6</xdr:col>
      <xdr:colOff>58510</xdr:colOff>
      <xdr:row>4</xdr:row>
      <xdr:rowOff>38099</xdr:rowOff>
    </xdr:from>
    <xdr:to>
      <xdr:col>7</xdr:col>
      <xdr:colOff>38100</xdr:colOff>
      <xdr:row>4</xdr:row>
      <xdr:rowOff>980754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460" y="4076699"/>
          <a:ext cx="2027465" cy="942655"/>
        </a:xfrm>
        <a:prstGeom prst="rect">
          <a:avLst/>
        </a:prstGeom>
      </xdr:spPr>
    </xdr:pic>
    <xdr:clientData/>
  </xdr:twoCellAnchor>
  <xdr:twoCellAnchor>
    <xdr:from>
      <xdr:col>6</xdr:col>
      <xdr:colOff>8045</xdr:colOff>
      <xdr:row>5</xdr:row>
      <xdr:rowOff>0</xdr:rowOff>
    </xdr:from>
    <xdr:to>
      <xdr:col>7</xdr:col>
      <xdr:colOff>0</xdr:colOff>
      <xdr:row>6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1995" y="5048250"/>
          <a:ext cx="2039830" cy="1019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1000125</xdr:rowOff>
        </xdr:from>
        <xdr:to>
          <xdr:col>10</xdr:col>
          <xdr:colOff>28575</xdr:colOff>
          <xdr:row>2</xdr:row>
          <xdr:rowOff>38100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picture" spid="_x0000_s512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924800" y="1000125"/>
              <a:ext cx="1400175" cy="10572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nal%20Dashboar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OneDrive/Documents/Book1%20(Autosave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ales%20Dashboard%20Analysis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nalysis"/>
      <sheetName val="Data"/>
      <sheetName val="List"/>
      <sheetName val="Employee Image"/>
      <sheetName val="Leaderboard"/>
      <sheetName val="Mail"/>
      <sheetName val="File Structure"/>
      <sheetName val="Sheet2"/>
      <sheetName val="Sheet3"/>
      <sheetName val="Sheet1"/>
      <sheetName val="Analysis TS AND CHART"/>
      <sheetName val="Sheet6"/>
      <sheetName val="Sheet4"/>
      <sheetName val="Full Analysis"/>
      <sheetName val="Sheet8"/>
      <sheetName val="Final Dashboa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BORD"/>
      <sheetName val="Sheet7"/>
      <sheetName val="ANALYSIS"/>
      <sheetName val="DATA"/>
      <sheetName val="LIST"/>
      <sheetName val="Employee Image"/>
      <sheetName val="Sheet4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nalysis"/>
      <sheetName val="Data"/>
      <sheetName val="List"/>
      <sheetName val="Employee Image"/>
      <sheetName val="Leaderboard"/>
      <sheetName val="Mail"/>
      <sheetName val="File Structure"/>
      <sheetName val="Sheet2"/>
      <sheetName val="Sheet3"/>
      <sheetName val="Sheet1"/>
      <sheetName val="Analysis TS AND CHART"/>
      <sheetName val="Sheet6"/>
      <sheetName val="Sheet4"/>
      <sheetName val="Full Analysis"/>
      <sheetName val="Sheet8"/>
      <sheetName val="Sales Dashboard Analysis (3)"/>
    </sheetNames>
    <definedNames>
      <definedName name="fullscreen"/>
      <definedName name="normal"/>
      <definedName name="showmode"/>
    </defined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gvijay Zankat" refreshedDate="44665.343853356484" createdVersion="7" refreshedVersion="7" minRefreshableVersion="3" recordCount="336">
  <cacheSource type="worksheet">
    <worksheetSource name="sales"/>
  </cacheSource>
  <cacheFields count="21">
    <cacheField name="Segment" numFmtId="0">
      <sharedItems count="5">
        <s v="Government"/>
        <s v="Midmarket"/>
        <s v="Channel Partners"/>
        <s v="Enterprise"/>
        <s v="Small Business"/>
      </sharedItems>
    </cacheField>
    <cacheField name="Employee" numFmtId="0">
      <sharedItems count="5">
        <s v="Peter Jones"/>
        <s v="Shane Bond"/>
        <s v="Leo Paul"/>
        <s v="Ashley Thomas"/>
        <s v="John Terry"/>
      </sharedItems>
    </cacheField>
    <cacheField name="Product" numFmtId="44">
      <sharedItems count="4">
        <s v="Computer"/>
        <s v="Printer"/>
        <s v="Projector"/>
        <s v="Phone"/>
      </sharedItems>
    </cacheField>
    <cacheField name="Discount Band" numFmtId="44">
      <sharedItems/>
    </cacheField>
    <cacheField name="Units Sold" numFmtId="0">
      <sharedItems containsSemiMixedTypes="0" containsString="0" containsNumber="1" minValue="200" maxValue="4492.5"/>
    </cacheField>
    <cacheField name="Manufacturing Price" numFmtId="44">
      <sharedItems containsSemiMixedTypes="0" containsString="0" containsNumber="1" containsInteger="1" minValue="3" maxValue="260"/>
    </cacheField>
    <cacheField name="Sale Price" numFmtId="44">
      <sharedItems containsSemiMixedTypes="0" containsString="0" containsNumber="1" containsInteger="1" minValue="7" maxValue="350"/>
    </cacheField>
    <cacheField name="Gross Sales" numFmtId="44">
      <sharedItems containsSemiMixedTypes="0" containsString="0" containsNumber="1" minValue="1799" maxValue="1207500" count="294">
        <n v="32370"/>
        <n v="26420"/>
        <n v="32670"/>
        <n v="13320"/>
        <n v="37050"/>
        <n v="529550"/>
        <n v="13815"/>
        <n v="30216"/>
        <n v="37980"/>
        <n v="18540"/>
        <n v="333187.5"/>
        <n v="287400"/>
        <n v="15022"/>
        <n v="9225"/>
        <n v="5840"/>
        <n v="14610"/>
        <n v="352100"/>
        <n v="4404"/>
        <n v="6181"/>
        <n v="37080"/>
        <n v="8001"/>
        <n v="36340"/>
        <n v="962500"/>
        <n v="23436"/>
        <n v="527437.5"/>
        <n v="11802"/>
        <n v="25692"/>
        <n v="27615"/>
        <n v="34440"/>
        <n v="7210"/>
        <n v="22296"/>
        <n v="423500"/>
        <n v="17703"/>
        <n v="17340"/>
        <n v="32052"/>
        <n v="488950"/>
        <n v="754250"/>
        <n v="33210"/>
        <n v="690300"/>
        <n v="27510"/>
        <n v="12810"/>
        <n v="22710"/>
        <n v="31447.5"/>
        <n v="90875"/>
        <n v="98375"/>
        <n v="227875"/>
        <n v="11205"/>
        <n v="871500"/>
        <n v="92812.5"/>
        <n v="15540"/>
        <n v="998200"/>
        <n v="13704"/>
        <n v="31320"/>
        <n v="8280"/>
        <n v="35445"/>
        <n v="275400"/>
        <n v="518400"/>
        <n v="82750"/>
        <n v="574800"/>
        <n v="341125"/>
        <n v="12660"/>
        <n v="13008"/>
        <n v="77700"/>
        <n v="330300"/>
        <n v="284500"/>
        <n v="24720"/>
        <n v="18820"/>
        <n v="530437.5"/>
        <n v="51600"/>
        <n v="206700"/>
        <n v="23364"/>
        <n v="13706"/>
        <n v="22812"/>
        <n v="3808"/>
        <n v="160875"/>
        <n v="213250"/>
        <n v="730350"/>
        <n v="221750"/>
        <n v="196250"/>
        <n v="16434"/>
        <n v="251125"/>
        <n v="16620"/>
        <n v="30465"/>
        <n v="606300"/>
        <n v="95900"/>
        <n v="29505"/>
        <n v="557700"/>
        <n v="142250"/>
        <n v="29757"/>
        <n v="99375"/>
        <n v="424350"/>
        <n v="875400"/>
        <n v="1207500"/>
        <n v="373500"/>
        <n v="3270"/>
        <n v="41480"/>
        <n v="21120"/>
        <n v="652750"/>
        <n v="134250"/>
        <n v="667450"/>
        <n v="9604"/>
        <n v="18823"/>
        <n v="29172"/>
        <n v="11781"/>
        <n v="13476"/>
        <n v="22380"/>
        <n v="13392"/>
        <n v="31260"/>
        <n v="297300"/>
        <n v="41865"/>
        <n v="3990"/>
        <n v="17409"/>
        <n v="484575"/>
        <n v="28104"/>
        <n v="26060"/>
        <n v="482100"/>
        <n v="16289"/>
        <n v="210700"/>
        <n v="39300"/>
        <n v="53260"/>
        <n v="472500"/>
        <n v="193200"/>
        <n v="375000"/>
        <n v="57015"/>
        <n v="22350"/>
        <n v="42660"/>
        <n v="6744"/>
        <n v="30450"/>
        <n v="343000"/>
        <n v="511000"/>
        <n v="32676"/>
        <n v="523600"/>
        <n v="587650"/>
        <n v="32970"/>
        <n v="26145"/>
        <n v="17295"/>
        <n v="8724"/>
        <n v="22608"/>
        <n v="28080"/>
        <n v="7945"/>
        <n v="616350"/>
        <n v="134400"/>
        <n v="654300"/>
        <n v="39520"/>
        <n v="510600"/>
        <n v="31515"/>
        <n v="30700"/>
        <n v="1006600"/>
        <n v="22360"/>
        <n v="411600"/>
        <n v="3416"/>
        <n v="25640"/>
        <n v="1799"/>
        <n v="7350"/>
        <n v="476700"/>
        <n v="37515"/>
        <n v="14160"/>
        <n v="12900"/>
        <n v="468600"/>
        <n v="10665"/>
        <n v="8813"/>
        <n v="7665"/>
        <n v="27320"/>
        <n v="738000"/>
        <n v="4746"/>
        <n v="11186"/>
        <n v="38680"/>
        <n v="59860"/>
        <n v="20349"/>
        <n v="30400"/>
        <n v="190500"/>
        <n v="328200"/>
        <n v="1140750"/>
        <n v="583100"/>
        <n v="27852"/>
        <n v="769500"/>
        <n v="845950"/>
        <n v="55125"/>
        <n v="18405"/>
        <n v="397200"/>
        <n v="724850"/>
        <n v="444150"/>
        <n v="33880"/>
        <n v="13260"/>
        <n v="5733"/>
        <n v="18960"/>
        <n v="3647"/>
        <n v="19460"/>
        <n v="20760"/>
        <n v="2520"/>
        <n v="24457.5"/>
        <n v="16296"/>
        <n v="809550"/>
        <n v="31080"/>
        <n v="39080"/>
        <n v="177300"/>
        <n v="4820"/>
        <n v="784000"/>
        <n v="897900"/>
        <n v="42246"/>
        <n v="40780"/>
        <n v="30888"/>
        <n v="247450"/>
        <n v="255900"/>
        <n v="17724"/>
        <n v="47992.5"/>
        <n v="5664"/>
        <n v="23244"/>
        <n v="277200"/>
        <n v="843300"/>
        <n v="268100"/>
        <n v="32355"/>
        <n v="261900"/>
        <n v="22440"/>
        <n v="736575"/>
        <n v="48312"/>
        <n v="29106"/>
        <n v="47880"/>
        <n v="29760"/>
        <n v="409800"/>
        <n v="52580"/>
        <n v="310100"/>
        <n v="40335"/>
        <n v="10155"/>
        <n v="531900"/>
        <n v="16940"/>
        <n v="19138"/>
        <n v="1048500"/>
        <n v="18100"/>
        <n v="557900"/>
        <n v="407700"/>
        <n v="645000"/>
        <n v="418950"/>
        <n v="24660"/>
        <n v="94500"/>
        <n v="23950.5"/>
        <n v="50430"/>
        <n v="31932"/>
        <n v="30620"/>
        <n v="38505"/>
        <n v="323050"/>
        <n v="626500"/>
        <n v="343875"/>
        <n v="9086"/>
        <n v="7248"/>
        <n v="45100"/>
        <n v="24980"/>
        <n v="10069.5"/>
        <n v="242100"/>
        <n v="52820"/>
        <n v="54160"/>
        <n v="921200"/>
        <n v="6852"/>
        <n v="18872"/>
        <n v="23475"/>
        <n v="124950"/>
        <n v="12156"/>
        <n v="8330"/>
        <n v="4920"/>
        <n v="51580"/>
        <n v="34860"/>
        <n v="1960"/>
        <n v="2051"/>
        <n v="4170"/>
        <n v="48560"/>
        <n v="26505"/>
        <n v="16716"/>
        <n v="240300"/>
        <n v="448800"/>
        <n v="303000"/>
        <n v="22695"/>
        <n v="34500"/>
        <n v="779625"/>
        <n v="419650"/>
        <n v="70000"/>
        <n v="2716"/>
        <n v="5200"/>
        <n v="34968"/>
        <n v="12117"/>
        <n v="245000"/>
        <n v="411950"/>
        <n v="266400"/>
        <n v="29700"/>
        <n v="163800"/>
        <n v="23160"/>
        <n v="38385"/>
        <n v="17745"/>
        <n v="997850"/>
        <n v="17625"/>
        <n v="10968"/>
        <n v="5860"/>
        <n v="742500"/>
        <n v="9576"/>
        <n v="5061"/>
      </sharedItems>
    </cacheField>
    <cacheField name="Discounts" numFmtId="44">
      <sharedItems containsSemiMixedTypes="0" containsString="0" containsNumber="1" minValue="0" maxValue="149677.5"/>
    </cacheField>
    <cacheField name=" Sales" numFmtId="44">
      <sharedItems containsSemiMixedTypes="0" containsString="0" containsNumber="1" minValue="1655.08" maxValue="1159200"/>
    </cacheField>
    <cacheField name="COGS" numFmtId="44">
      <sharedItems containsSemiMixedTypes="0" containsString="0" containsNumber="1" minValue="1101" maxValue="950625"/>
    </cacheField>
    <cacheField name="Profit" numFmtId="44">
      <sharedItems containsSemiMixedTypes="0" containsString="0" containsNumber="1" minValue="0" maxValue="262200"/>
    </cacheField>
    <cacheField name="Date" numFmtId="14">
      <sharedItems containsSemiMixedTypes="0" containsNonDate="0" containsDate="1" containsString="0" minDate="2014-01-01T00:00:00" maxDate="2014-12-02T00:00:00"/>
    </cacheField>
    <cacheField name="Month Number" numFmtId="1">
      <sharedItems containsSemiMixedTypes="0" containsString="0" containsNumber="1" containsInteger="1" minValue="1" maxValue="12" count="12">
        <n v="1"/>
        <n v="6"/>
        <n v="12"/>
        <n v="3"/>
        <n v="7"/>
        <n v="8"/>
        <n v="9"/>
        <n v="2"/>
        <n v="10"/>
        <n v="4"/>
        <n v="5"/>
        <n v="11"/>
      </sharedItems>
    </cacheField>
    <cacheField name="Month Name" numFmtId="44">
      <sharedItems count="12">
        <s v="January"/>
        <s v="June"/>
        <s v="December"/>
        <s v="March"/>
        <s v="July"/>
        <s v="August"/>
        <s v="September"/>
        <s v="February"/>
        <s v="October"/>
        <s v="April"/>
        <s v="May"/>
        <s v="November"/>
      </sharedItems>
    </cacheField>
    <cacheField name="Year" numFmtId="49">
      <sharedItems/>
    </cacheField>
    <cacheField name="Profit per Unit" numFmtId="44">
      <sharedItems containsSemiMixedTypes="0" containsString="0" containsNumber="1" minValue="0" maxValue="90"/>
    </cacheField>
    <cacheField name="Margin" numFmtId="0" formula="Profit/' Sales'" databaseField="0"/>
    <cacheField name="Profit P" numFmtId="0" formula="Profit/'Units Sold'" databaseField="0"/>
    <cacheField name="Profit / Unit" numFmtId="0" formula="Profit/'Units Sold'" databaseField="0"/>
    <cacheField name="Sum oF Margin" numFmtId="0" formula="Profit/' Sales'" databaseField="0"/>
  </cacheFields>
  <extLst>
    <ext xmlns:x14="http://schemas.microsoft.com/office/spreadsheetml/2009/9/main" uri="{725AE2AE-9491-48be-B2B4-4EB974FC3084}">
      <x14:pivotCacheDefinition pivotCacheId="1735643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6">
  <r>
    <x v="0"/>
    <x v="0"/>
    <x v="0"/>
    <s v="None"/>
    <n v="1618.5"/>
    <n v="3"/>
    <n v="20"/>
    <x v="0"/>
    <n v="0"/>
    <n v="32370"/>
    <n v="16185"/>
    <n v="16185"/>
    <d v="2014-01-01T00:00:00"/>
    <x v="0"/>
    <x v="0"/>
    <s v="2014"/>
    <n v="10"/>
  </r>
  <r>
    <x v="0"/>
    <x v="1"/>
    <x v="0"/>
    <s v="None"/>
    <n v="1321"/>
    <n v="3"/>
    <n v="20"/>
    <x v="1"/>
    <n v="0"/>
    <n v="26420"/>
    <n v="13210"/>
    <n v="13210"/>
    <d v="2014-01-01T00:00:00"/>
    <x v="0"/>
    <x v="0"/>
    <s v="2014"/>
    <n v="10"/>
  </r>
  <r>
    <x v="1"/>
    <x v="2"/>
    <x v="0"/>
    <s v="None"/>
    <n v="2178"/>
    <n v="3"/>
    <n v="15"/>
    <x v="2"/>
    <n v="0"/>
    <n v="32670"/>
    <n v="21780"/>
    <n v="10890"/>
    <d v="2014-06-01T00:00:00"/>
    <x v="1"/>
    <x v="1"/>
    <s v="2014"/>
    <n v="5"/>
  </r>
  <r>
    <x v="1"/>
    <x v="1"/>
    <x v="0"/>
    <s v="None"/>
    <n v="888"/>
    <n v="3"/>
    <n v="15"/>
    <x v="3"/>
    <n v="0"/>
    <n v="13320"/>
    <n v="8880"/>
    <n v="4440"/>
    <d v="2014-06-01T00:00:00"/>
    <x v="1"/>
    <x v="1"/>
    <s v="2014"/>
    <n v="5"/>
  </r>
  <r>
    <x v="1"/>
    <x v="3"/>
    <x v="0"/>
    <s v="None"/>
    <n v="2470"/>
    <n v="3"/>
    <n v="15"/>
    <x v="4"/>
    <n v="0"/>
    <n v="37050"/>
    <n v="24700"/>
    <n v="12350"/>
    <d v="2014-06-01T00:00:00"/>
    <x v="1"/>
    <x v="1"/>
    <s v="2014"/>
    <n v="5"/>
  </r>
  <r>
    <x v="0"/>
    <x v="1"/>
    <x v="0"/>
    <s v="None"/>
    <n v="1513"/>
    <n v="3"/>
    <n v="350"/>
    <x v="5"/>
    <n v="0"/>
    <n v="529550"/>
    <n v="393380"/>
    <n v="136170"/>
    <d v="2014-12-01T00:00:00"/>
    <x v="2"/>
    <x v="2"/>
    <s v="2014"/>
    <n v="90"/>
  </r>
  <r>
    <x v="1"/>
    <x v="1"/>
    <x v="1"/>
    <s v="None"/>
    <n v="921"/>
    <n v="5"/>
    <n v="15"/>
    <x v="6"/>
    <n v="0"/>
    <n v="13815"/>
    <n v="9210"/>
    <n v="4605"/>
    <d v="2014-03-01T00:00:00"/>
    <x v="3"/>
    <x v="3"/>
    <s v="2014"/>
    <n v="5"/>
  </r>
  <r>
    <x v="2"/>
    <x v="0"/>
    <x v="1"/>
    <s v="None"/>
    <n v="2518"/>
    <n v="5"/>
    <n v="12"/>
    <x v="7"/>
    <n v="0"/>
    <n v="30216"/>
    <n v="7554"/>
    <n v="22662"/>
    <d v="2014-06-01T00:00:00"/>
    <x v="1"/>
    <x v="1"/>
    <s v="2014"/>
    <n v="9"/>
  </r>
  <r>
    <x v="0"/>
    <x v="2"/>
    <x v="1"/>
    <s v="None"/>
    <n v="1899"/>
    <n v="5"/>
    <n v="20"/>
    <x v="8"/>
    <n v="0"/>
    <n v="37980"/>
    <n v="18990"/>
    <n v="18990"/>
    <d v="2014-06-01T00:00:00"/>
    <x v="1"/>
    <x v="1"/>
    <s v="2014"/>
    <n v="10"/>
  </r>
  <r>
    <x v="2"/>
    <x v="1"/>
    <x v="1"/>
    <s v="None"/>
    <n v="1545"/>
    <n v="5"/>
    <n v="12"/>
    <x v="9"/>
    <n v="0"/>
    <n v="18540"/>
    <n v="4635"/>
    <n v="13905"/>
    <d v="2014-06-01T00:00:00"/>
    <x v="1"/>
    <x v="1"/>
    <s v="2014"/>
    <n v="9"/>
  </r>
  <r>
    <x v="1"/>
    <x v="3"/>
    <x v="1"/>
    <s v="None"/>
    <n v="2470"/>
    <n v="5"/>
    <n v="15"/>
    <x v="4"/>
    <n v="0"/>
    <n v="37050"/>
    <n v="24700"/>
    <n v="12350"/>
    <d v="2014-06-01T00:00:00"/>
    <x v="1"/>
    <x v="1"/>
    <s v="2014"/>
    <n v="5"/>
  </r>
  <r>
    <x v="3"/>
    <x v="0"/>
    <x v="1"/>
    <s v="None"/>
    <n v="2665.5"/>
    <n v="5"/>
    <n v="125"/>
    <x v="10"/>
    <n v="0"/>
    <n v="333187.5"/>
    <n v="319860"/>
    <n v="13327.5"/>
    <d v="2014-07-01T00:00:00"/>
    <x v="4"/>
    <x v="4"/>
    <s v="2014"/>
    <n v="5"/>
  </r>
  <r>
    <x v="4"/>
    <x v="3"/>
    <x v="1"/>
    <s v="None"/>
    <n v="958"/>
    <n v="5"/>
    <n v="300"/>
    <x v="11"/>
    <n v="0"/>
    <n v="287400"/>
    <n v="239500"/>
    <n v="47900"/>
    <d v="2014-08-01T00:00:00"/>
    <x v="5"/>
    <x v="5"/>
    <s v="2014"/>
    <n v="50"/>
  </r>
  <r>
    <x v="0"/>
    <x v="1"/>
    <x v="1"/>
    <s v="None"/>
    <n v="2146"/>
    <n v="5"/>
    <n v="7"/>
    <x v="12"/>
    <n v="0"/>
    <n v="15022"/>
    <n v="10730"/>
    <n v="4292"/>
    <d v="2014-09-01T00:00:00"/>
    <x v="6"/>
    <x v="6"/>
    <s v="2014"/>
    <n v="2"/>
  </r>
  <r>
    <x v="1"/>
    <x v="4"/>
    <x v="1"/>
    <s v="None"/>
    <n v="615"/>
    <n v="5"/>
    <n v="15"/>
    <x v="13"/>
    <n v="0"/>
    <n v="9225"/>
    <n v="6150"/>
    <n v="3075"/>
    <d v="2014-12-01T00:00:00"/>
    <x v="2"/>
    <x v="2"/>
    <s v="2014"/>
    <n v="5"/>
  </r>
  <r>
    <x v="0"/>
    <x v="0"/>
    <x v="2"/>
    <s v="None"/>
    <n v="292"/>
    <n v="10"/>
    <n v="20"/>
    <x v="14"/>
    <n v="0"/>
    <n v="5840"/>
    <n v="2920"/>
    <n v="2920"/>
    <d v="2014-02-01T00:00:00"/>
    <x v="7"/>
    <x v="7"/>
    <s v="2014"/>
    <n v="10"/>
  </r>
  <r>
    <x v="1"/>
    <x v="3"/>
    <x v="2"/>
    <s v="None"/>
    <n v="974"/>
    <n v="10"/>
    <n v="15"/>
    <x v="15"/>
    <n v="0"/>
    <n v="14610"/>
    <n v="9740"/>
    <n v="4870"/>
    <d v="2014-02-01T00:00:00"/>
    <x v="7"/>
    <x v="7"/>
    <s v="2014"/>
    <n v="5"/>
  </r>
  <r>
    <x v="2"/>
    <x v="0"/>
    <x v="2"/>
    <s v="None"/>
    <n v="2518"/>
    <n v="10"/>
    <n v="12"/>
    <x v="7"/>
    <n v="0"/>
    <n v="30216"/>
    <n v="7554"/>
    <n v="22662"/>
    <d v="2014-06-01T00:00:00"/>
    <x v="1"/>
    <x v="1"/>
    <s v="2014"/>
    <n v="9"/>
  </r>
  <r>
    <x v="0"/>
    <x v="1"/>
    <x v="2"/>
    <s v="None"/>
    <n v="1006"/>
    <n v="10"/>
    <n v="350"/>
    <x v="16"/>
    <n v="0"/>
    <n v="352100"/>
    <n v="261560"/>
    <n v="90540"/>
    <d v="2014-06-01T00:00:00"/>
    <x v="1"/>
    <x v="1"/>
    <s v="2014"/>
    <n v="90"/>
  </r>
  <r>
    <x v="2"/>
    <x v="1"/>
    <x v="2"/>
    <s v="None"/>
    <n v="367"/>
    <n v="10"/>
    <n v="12"/>
    <x v="17"/>
    <n v="0"/>
    <n v="4404"/>
    <n v="1101"/>
    <n v="3303"/>
    <d v="2014-07-01T00:00:00"/>
    <x v="4"/>
    <x v="4"/>
    <s v="2014"/>
    <n v="9"/>
  </r>
  <r>
    <x v="0"/>
    <x v="3"/>
    <x v="2"/>
    <s v="None"/>
    <n v="883"/>
    <n v="10"/>
    <n v="7"/>
    <x v="18"/>
    <n v="0"/>
    <n v="6181"/>
    <n v="4415"/>
    <n v="1766"/>
    <d v="2014-08-01T00:00:00"/>
    <x v="5"/>
    <x v="5"/>
    <s v="2014"/>
    <n v="2"/>
  </r>
  <r>
    <x v="1"/>
    <x v="3"/>
    <x v="2"/>
    <s v="None"/>
    <n v="2472"/>
    <n v="10"/>
    <n v="15"/>
    <x v="19"/>
    <n v="0"/>
    <n v="37080"/>
    <n v="24720"/>
    <n v="12360"/>
    <d v="2014-09-01T00:00:00"/>
    <x v="6"/>
    <x v="6"/>
    <s v="2014"/>
    <n v="5"/>
  </r>
  <r>
    <x v="0"/>
    <x v="4"/>
    <x v="2"/>
    <s v="None"/>
    <n v="1143"/>
    <n v="10"/>
    <n v="7"/>
    <x v="20"/>
    <n v="0"/>
    <n v="8001"/>
    <n v="5715"/>
    <n v="2286"/>
    <d v="2014-10-01T00:00:00"/>
    <x v="8"/>
    <x v="8"/>
    <s v="2014"/>
    <n v="2"/>
  </r>
  <r>
    <x v="0"/>
    <x v="0"/>
    <x v="2"/>
    <s v="None"/>
    <n v="1817"/>
    <n v="10"/>
    <n v="20"/>
    <x v="21"/>
    <n v="0"/>
    <n v="36340"/>
    <n v="18170"/>
    <n v="18170"/>
    <d v="2014-12-01T00:00:00"/>
    <x v="2"/>
    <x v="2"/>
    <s v="2014"/>
    <n v="10"/>
  </r>
  <r>
    <x v="0"/>
    <x v="1"/>
    <x v="2"/>
    <s v="None"/>
    <n v="1513"/>
    <n v="10"/>
    <n v="350"/>
    <x v="5"/>
    <n v="0"/>
    <n v="529550"/>
    <n v="393380"/>
    <n v="136170"/>
    <d v="2014-12-01T00:00:00"/>
    <x v="2"/>
    <x v="2"/>
    <s v="2014"/>
    <n v="90"/>
  </r>
  <r>
    <x v="0"/>
    <x v="2"/>
    <x v="3"/>
    <s v="None"/>
    <n v="2750"/>
    <n v="260"/>
    <n v="350"/>
    <x v="22"/>
    <n v="0"/>
    <n v="962500"/>
    <n v="715000"/>
    <n v="247500"/>
    <d v="2014-02-01T00:00:00"/>
    <x v="7"/>
    <x v="7"/>
    <s v="2014"/>
    <n v="90"/>
  </r>
  <r>
    <x v="2"/>
    <x v="4"/>
    <x v="3"/>
    <s v="None"/>
    <n v="1953"/>
    <n v="260"/>
    <n v="12"/>
    <x v="23"/>
    <n v="0"/>
    <n v="23436"/>
    <n v="5859"/>
    <n v="17577"/>
    <d v="2014-04-01T00:00:00"/>
    <x v="9"/>
    <x v="9"/>
    <s v="2014"/>
    <n v="9"/>
  </r>
  <r>
    <x v="3"/>
    <x v="1"/>
    <x v="3"/>
    <s v="None"/>
    <n v="4219.5"/>
    <n v="260"/>
    <n v="125"/>
    <x v="24"/>
    <n v="0"/>
    <n v="527437.5"/>
    <n v="506340"/>
    <n v="21097.5"/>
    <d v="2014-04-01T00:00:00"/>
    <x v="9"/>
    <x v="9"/>
    <s v="2014"/>
    <n v="5"/>
  </r>
  <r>
    <x v="0"/>
    <x v="2"/>
    <x v="3"/>
    <s v="None"/>
    <n v="1899"/>
    <n v="260"/>
    <n v="20"/>
    <x v="8"/>
    <n v="0"/>
    <n v="37980"/>
    <n v="18990"/>
    <n v="18990"/>
    <d v="2014-06-01T00:00:00"/>
    <x v="1"/>
    <x v="1"/>
    <s v="2014"/>
    <n v="10"/>
  </r>
  <r>
    <x v="0"/>
    <x v="1"/>
    <x v="3"/>
    <s v="None"/>
    <n v="1686"/>
    <n v="260"/>
    <n v="7"/>
    <x v="25"/>
    <n v="0"/>
    <n v="11802"/>
    <n v="8430"/>
    <n v="3372"/>
    <d v="2014-07-01T00:00:00"/>
    <x v="4"/>
    <x v="4"/>
    <s v="2014"/>
    <n v="2"/>
  </r>
  <r>
    <x v="2"/>
    <x v="4"/>
    <x v="3"/>
    <s v="None"/>
    <n v="2141"/>
    <n v="260"/>
    <n v="12"/>
    <x v="26"/>
    <n v="0"/>
    <n v="25692"/>
    <n v="6423"/>
    <n v="19269"/>
    <d v="2014-08-01T00:00:00"/>
    <x v="5"/>
    <x v="5"/>
    <s v="2014"/>
    <n v="9"/>
  </r>
  <r>
    <x v="0"/>
    <x v="4"/>
    <x v="3"/>
    <s v="None"/>
    <n v="1143"/>
    <n v="260"/>
    <n v="7"/>
    <x v="20"/>
    <n v="0"/>
    <n v="8001"/>
    <n v="5715"/>
    <n v="2286"/>
    <d v="2014-10-01T00:00:00"/>
    <x v="8"/>
    <x v="8"/>
    <s v="2014"/>
    <n v="2"/>
  </r>
  <r>
    <x v="1"/>
    <x v="4"/>
    <x v="3"/>
    <s v="None"/>
    <n v="615"/>
    <n v="260"/>
    <n v="15"/>
    <x v="13"/>
    <n v="0"/>
    <n v="9225"/>
    <n v="6150"/>
    <n v="3075"/>
    <d v="2014-12-01T00:00:00"/>
    <x v="2"/>
    <x v="2"/>
    <s v="2014"/>
    <n v="5"/>
  </r>
  <r>
    <x v="0"/>
    <x v="2"/>
    <x v="2"/>
    <s v="Low"/>
    <n v="3945"/>
    <n v="10"/>
    <n v="7"/>
    <x v="27"/>
    <n v="276.14999999999998"/>
    <n v="27338.850000000002"/>
    <n v="19725"/>
    <n v="7613.8500000000022"/>
    <d v="2014-01-01T00:00:00"/>
    <x v="0"/>
    <x v="0"/>
    <s v="2014"/>
    <n v="1.9300000000000006"/>
  </r>
  <r>
    <x v="1"/>
    <x v="2"/>
    <x v="2"/>
    <s v="Low"/>
    <n v="2296"/>
    <n v="10"/>
    <n v="15"/>
    <x v="28"/>
    <n v="344.4"/>
    <n v="34095.599999999999"/>
    <n v="22960"/>
    <n v="11135.599999999999"/>
    <d v="2014-02-01T00:00:00"/>
    <x v="7"/>
    <x v="7"/>
    <s v="2014"/>
    <n v="4.8499999999999996"/>
  </r>
  <r>
    <x v="0"/>
    <x v="2"/>
    <x v="2"/>
    <s v="Low"/>
    <n v="1030"/>
    <n v="10"/>
    <n v="7"/>
    <x v="29"/>
    <n v="72.099999999999994"/>
    <n v="7137.9"/>
    <n v="5150"/>
    <n v="1987.8999999999996"/>
    <d v="2014-05-01T00:00:00"/>
    <x v="10"/>
    <x v="10"/>
    <s v="2014"/>
    <n v="1.9299999999999997"/>
  </r>
  <r>
    <x v="2"/>
    <x v="4"/>
    <x v="0"/>
    <s v="Low"/>
    <n v="1858"/>
    <n v="3"/>
    <n v="12"/>
    <x v="30"/>
    <n v="222.96"/>
    <n v="22073.040000000001"/>
    <n v="5574"/>
    <n v="16499.04"/>
    <d v="2014-02-01T00:00:00"/>
    <x v="7"/>
    <x v="7"/>
    <s v="2014"/>
    <n v="8.8800000000000008"/>
  </r>
  <r>
    <x v="0"/>
    <x v="3"/>
    <x v="0"/>
    <s v="Low"/>
    <n v="1210"/>
    <n v="3"/>
    <n v="350"/>
    <x v="31"/>
    <n v="4235"/>
    <n v="419265"/>
    <n v="314600"/>
    <n v="104665"/>
    <d v="2014-03-01T00:00:00"/>
    <x v="3"/>
    <x v="3"/>
    <s v="2014"/>
    <n v="86.5"/>
  </r>
  <r>
    <x v="0"/>
    <x v="4"/>
    <x v="0"/>
    <s v="Low"/>
    <n v="2529"/>
    <n v="3"/>
    <n v="7"/>
    <x v="32"/>
    <n v="177.03"/>
    <n v="17525.97"/>
    <n v="12645"/>
    <n v="4880.9699999999993"/>
    <d v="2014-07-01T00:00:00"/>
    <x v="4"/>
    <x v="4"/>
    <s v="2014"/>
    <n v="1.9299999999999997"/>
  </r>
  <r>
    <x v="2"/>
    <x v="0"/>
    <x v="0"/>
    <s v="Low"/>
    <n v="1445"/>
    <n v="3"/>
    <n v="12"/>
    <x v="33"/>
    <n v="173.4"/>
    <n v="17166.599999999999"/>
    <n v="4335"/>
    <n v="12831.599999999999"/>
    <d v="2014-09-01T00:00:00"/>
    <x v="6"/>
    <x v="6"/>
    <s v="2014"/>
    <n v="8.879999999999999"/>
  </r>
  <r>
    <x v="2"/>
    <x v="2"/>
    <x v="0"/>
    <s v="Low"/>
    <n v="2671"/>
    <n v="3"/>
    <n v="12"/>
    <x v="34"/>
    <n v="320.52"/>
    <n v="31731.48"/>
    <n v="8013"/>
    <n v="23718.48"/>
    <d v="2014-09-01T00:00:00"/>
    <x v="6"/>
    <x v="6"/>
    <s v="2014"/>
    <n v="8.879999999999999"/>
  </r>
  <r>
    <x v="0"/>
    <x v="3"/>
    <x v="0"/>
    <s v="Low"/>
    <n v="1397"/>
    <n v="3"/>
    <n v="350"/>
    <x v="35"/>
    <n v="4889.5"/>
    <n v="484060.5"/>
    <n v="363220"/>
    <n v="120840.5"/>
    <d v="2014-10-01T00:00:00"/>
    <x v="8"/>
    <x v="8"/>
    <s v="2014"/>
    <n v="86.5"/>
  </r>
  <r>
    <x v="0"/>
    <x v="2"/>
    <x v="0"/>
    <s v="Low"/>
    <n v="2155"/>
    <n v="3"/>
    <n v="350"/>
    <x v="36"/>
    <n v="7542.5"/>
    <n v="746707.5"/>
    <n v="560300"/>
    <n v="186407.5"/>
    <d v="2014-12-01T00:00:00"/>
    <x v="2"/>
    <x v="2"/>
    <s v="2014"/>
    <n v="86.5"/>
  </r>
  <r>
    <x v="1"/>
    <x v="3"/>
    <x v="1"/>
    <s v="Low"/>
    <n v="2214"/>
    <n v="5"/>
    <n v="15"/>
    <x v="37"/>
    <n v="332.1"/>
    <n v="32877.9"/>
    <n v="22140"/>
    <n v="10737.900000000001"/>
    <d v="2014-03-01T00:00:00"/>
    <x v="3"/>
    <x v="3"/>
    <s v="2014"/>
    <n v="4.8500000000000005"/>
  </r>
  <r>
    <x v="4"/>
    <x v="4"/>
    <x v="1"/>
    <s v="Low"/>
    <n v="2301"/>
    <n v="5"/>
    <n v="300"/>
    <x v="38"/>
    <n v="6903"/>
    <n v="683397"/>
    <n v="575250"/>
    <n v="108147"/>
    <d v="2014-04-01T00:00:00"/>
    <x v="9"/>
    <x v="9"/>
    <s v="2014"/>
    <n v="47"/>
  </r>
  <r>
    <x v="0"/>
    <x v="2"/>
    <x v="1"/>
    <s v="Low"/>
    <n v="1375.5"/>
    <n v="5"/>
    <n v="20"/>
    <x v="39"/>
    <n v="275.10000000000002"/>
    <n v="27234.899999999998"/>
    <n v="13755"/>
    <n v="13479.899999999998"/>
    <d v="2014-07-01T00:00:00"/>
    <x v="4"/>
    <x v="4"/>
    <s v="2014"/>
    <n v="9.7999999999999989"/>
  </r>
  <r>
    <x v="0"/>
    <x v="0"/>
    <x v="1"/>
    <s v="Low"/>
    <n v="1830"/>
    <n v="5"/>
    <n v="7"/>
    <x v="40"/>
    <n v="128.1"/>
    <n v="12681.9"/>
    <n v="9150"/>
    <n v="3531.8999999999996"/>
    <d v="2014-08-01T00:00:00"/>
    <x v="5"/>
    <x v="5"/>
    <s v="2014"/>
    <n v="1.9299999999999997"/>
  </r>
  <r>
    <x v="1"/>
    <x v="4"/>
    <x v="2"/>
    <s v="Low"/>
    <n v="1514"/>
    <n v="10"/>
    <n v="15"/>
    <x v="41"/>
    <n v="227.1"/>
    <n v="22482.9"/>
    <n v="15140"/>
    <n v="7342.9000000000015"/>
    <d v="2014-02-01T00:00:00"/>
    <x v="7"/>
    <x v="7"/>
    <s v="2014"/>
    <n v="4.8500000000000005"/>
  </r>
  <r>
    <x v="0"/>
    <x v="4"/>
    <x v="2"/>
    <s v="Low"/>
    <n v="4492.5"/>
    <n v="10"/>
    <n v="7"/>
    <x v="42"/>
    <n v="314.47500000000002"/>
    <n v="31133.024999999998"/>
    <n v="22462.5"/>
    <n v="8670.5249999999978"/>
    <d v="2014-04-01T00:00:00"/>
    <x v="9"/>
    <x v="9"/>
    <s v="2014"/>
    <n v="1.9299999999999995"/>
  </r>
  <r>
    <x v="3"/>
    <x v="4"/>
    <x v="2"/>
    <s v="Low"/>
    <n v="727"/>
    <n v="10"/>
    <n v="125"/>
    <x v="43"/>
    <n v="908.75"/>
    <n v="89966.25"/>
    <n v="87240"/>
    <n v="2726.25"/>
    <d v="2014-06-01T00:00:00"/>
    <x v="1"/>
    <x v="1"/>
    <s v="2014"/>
    <n v="3.75"/>
  </r>
  <r>
    <x v="3"/>
    <x v="2"/>
    <x v="2"/>
    <s v="Low"/>
    <n v="787"/>
    <n v="10"/>
    <n v="125"/>
    <x v="44"/>
    <n v="983.75"/>
    <n v="97391.25"/>
    <n v="94440"/>
    <n v="2951.25"/>
    <d v="2014-06-01T00:00:00"/>
    <x v="1"/>
    <x v="1"/>
    <s v="2014"/>
    <n v="3.75"/>
  </r>
  <r>
    <x v="3"/>
    <x v="3"/>
    <x v="2"/>
    <s v="Low"/>
    <n v="1823"/>
    <n v="10"/>
    <n v="125"/>
    <x v="45"/>
    <n v="2278.75"/>
    <n v="225596.25"/>
    <n v="218760"/>
    <n v="6836.25"/>
    <d v="2014-07-01T00:00:00"/>
    <x v="4"/>
    <x v="4"/>
    <s v="2014"/>
    <n v="3.75"/>
  </r>
  <r>
    <x v="1"/>
    <x v="1"/>
    <x v="2"/>
    <s v="Low"/>
    <n v="747"/>
    <n v="10"/>
    <n v="15"/>
    <x v="46"/>
    <n v="112.05"/>
    <n v="11092.95"/>
    <n v="7470"/>
    <n v="3622.9500000000007"/>
    <d v="2014-09-01T00:00:00"/>
    <x v="6"/>
    <x v="6"/>
    <s v="2014"/>
    <n v="4.8500000000000005"/>
  </r>
  <r>
    <x v="4"/>
    <x v="4"/>
    <x v="2"/>
    <s v="Low"/>
    <n v="2905"/>
    <n v="10"/>
    <n v="300"/>
    <x v="47"/>
    <n v="8715"/>
    <n v="862785"/>
    <n v="726250"/>
    <n v="136535"/>
    <d v="2014-11-01T00:00:00"/>
    <x v="11"/>
    <x v="11"/>
    <s v="2014"/>
    <n v="47"/>
  </r>
  <r>
    <x v="0"/>
    <x v="2"/>
    <x v="2"/>
    <s v="Low"/>
    <n v="2155"/>
    <n v="10"/>
    <n v="350"/>
    <x v="36"/>
    <n v="7542.5"/>
    <n v="746707.5"/>
    <n v="560300"/>
    <n v="186407.5"/>
    <d v="2014-12-01T00:00:00"/>
    <x v="2"/>
    <x v="2"/>
    <s v="2014"/>
    <n v="86.5"/>
  </r>
  <r>
    <x v="3"/>
    <x v="0"/>
    <x v="0"/>
    <s v="Low"/>
    <n v="742.5"/>
    <n v="3"/>
    <n v="125"/>
    <x v="48"/>
    <n v="1856.25"/>
    <n v="90956.25"/>
    <n v="89100"/>
    <n v="1856.25"/>
    <d v="2014-04-01T00:00:00"/>
    <x v="9"/>
    <x v="9"/>
    <s v="2014"/>
    <n v="2.5"/>
  </r>
  <r>
    <x v="2"/>
    <x v="0"/>
    <x v="0"/>
    <s v="Low"/>
    <n v="1295"/>
    <n v="3"/>
    <n v="12"/>
    <x v="49"/>
    <n v="310.8"/>
    <n v="15229.2"/>
    <n v="3885"/>
    <n v="11344.2"/>
    <d v="2014-10-01T00:00:00"/>
    <x v="8"/>
    <x v="8"/>
    <s v="2014"/>
    <n v="8.76"/>
  </r>
  <r>
    <x v="0"/>
    <x v="0"/>
    <x v="0"/>
    <s v="Low"/>
    <n v="2852"/>
    <n v="3"/>
    <n v="350"/>
    <x v="50"/>
    <n v="19964"/>
    <n v="978236"/>
    <n v="741520"/>
    <n v="236716"/>
    <d v="2014-12-01T00:00:00"/>
    <x v="2"/>
    <x v="2"/>
    <s v="2014"/>
    <n v="83"/>
  </r>
  <r>
    <x v="2"/>
    <x v="4"/>
    <x v="1"/>
    <s v="Low"/>
    <n v="1142"/>
    <n v="5"/>
    <n v="12"/>
    <x v="51"/>
    <n v="274.08"/>
    <n v="13429.92"/>
    <n v="3426"/>
    <n v="10003.92"/>
    <d v="2014-06-01T00:00:00"/>
    <x v="1"/>
    <x v="1"/>
    <s v="2014"/>
    <n v="8.76"/>
  </r>
  <r>
    <x v="0"/>
    <x v="4"/>
    <x v="1"/>
    <s v="Low"/>
    <n v="1566"/>
    <n v="5"/>
    <n v="20"/>
    <x v="52"/>
    <n v="626.4"/>
    <n v="30693.599999999999"/>
    <n v="15660"/>
    <n v="15033.599999999999"/>
    <d v="2014-10-01T00:00:00"/>
    <x v="8"/>
    <x v="8"/>
    <s v="2014"/>
    <n v="9.6"/>
  </r>
  <r>
    <x v="2"/>
    <x v="3"/>
    <x v="1"/>
    <s v="Low"/>
    <n v="690"/>
    <n v="5"/>
    <n v="12"/>
    <x v="53"/>
    <n v="165.6"/>
    <n v="8114.4"/>
    <n v="2070"/>
    <n v="6044.4"/>
    <d v="2014-11-01T00:00:00"/>
    <x v="11"/>
    <x v="11"/>
    <s v="2014"/>
    <n v="8.76"/>
  </r>
  <r>
    <x v="1"/>
    <x v="0"/>
    <x v="2"/>
    <s v="Low"/>
    <n v="2363"/>
    <n v="10"/>
    <n v="15"/>
    <x v="54"/>
    <n v="708.9"/>
    <n v="34736.1"/>
    <n v="23630"/>
    <n v="11106.099999999999"/>
    <d v="2014-02-01T00:00:00"/>
    <x v="7"/>
    <x v="7"/>
    <s v="2014"/>
    <n v="4.6999999999999993"/>
  </r>
  <r>
    <x v="4"/>
    <x v="2"/>
    <x v="2"/>
    <s v="Low"/>
    <n v="918"/>
    <n v="10"/>
    <n v="300"/>
    <x v="55"/>
    <n v="5508"/>
    <n v="269892"/>
    <n v="229500"/>
    <n v="40392"/>
    <d v="2014-05-01T00:00:00"/>
    <x v="10"/>
    <x v="10"/>
    <s v="2014"/>
    <n v="44"/>
  </r>
  <r>
    <x v="4"/>
    <x v="1"/>
    <x v="2"/>
    <s v="Low"/>
    <n v="1728"/>
    <n v="10"/>
    <n v="300"/>
    <x v="56"/>
    <n v="10368"/>
    <n v="508032"/>
    <n v="432000"/>
    <n v="76032"/>
    <d v="2014-05-01T00:00:00"/>
    <x v="10"/>
    <x v="10"/>
    <s v="2014"/>
    <n v="44"/>
  </r>
  <r>
    <x v="2"/>
    <x v="4"/>
    <x v="2"/>
    <s v="Low"/>
    <n v="1142"/>
    <n v="10"/>
    <n v="12"/>
    <x v="51"/>
    <n v="274.08"/>
    <n v="13429.92"/>
    <n v="3426"/>
    <n v="10003.92"/>
    <d v="2014-06-01T00:00:00"/>
    <x v="1"/>
    <x v="1"/>
    <s v="2014"/>
    <n v="8.76"/>
  </r>
  <r>
    <x v="3"/>
    <x v="3"/>
    <x v="2"/>
    <s v="Low"/>
    <n v="662"/>
    <n v="10"/>
    <n v="125"/>
    <x v="57"/>
    <n v="1655"/>
    <n v="81095"/>
    <n v="79440"/>
    <n v="1655"/>
    <d v="2014-06-01T00:00:00"/>
    <x v="1"/>
    <x v="1"/>
    <s v="2014"/>
    <n v="2.5"/>
  </r>
  <r>
    <x v="2"/>
    <x v="0"/>
    <x v="2"/>
    <s v="Low"/>
    <n v="1295"/>
    <n v="10"/>
    <n v="12"/>
    <x v="49"/>
    <n v="310.8"/>
    <n v="15229.2"/>
    <n v="3885"/>
    <n v="11344.2"/>
    <d v="2014-10-01T00:00:00"/>
    <x v="8"/>
    <x v="8"/>
    <s v="2014"/>
    <n v="8.76"/>
  </r>
  <r>
    <x v="4"/>
    <x v="0"/>
    <x v="2"/>
    <s v="Low"/>
    <n v="1916"/>
    <n v="10"/>
    <n v="300"/>
    <x v="58"/>
    <n v="11496"/>
    <n v="563304"/>
    <n v="479000"/>
    <n v="84304"/>
    <d v="2014-12-01T00:00:00"/>
    <x v="2"/>
    <x v="2"/>
    <s v="2014"/>
    <n v="44"/>
  </r>
  <r>
    <x v="0"/>
    <x v="0"/>
    <x v="2"/>
    <s v="Low"/>
    <n v="2852"/>
    <n v="10"/>
    <n v="350"/>
    <x v="50"/>
    <n v="19964"/>
    <n v="978236"/>
    <n v="741520"/>
    <n v="236716"/>
    <d v="2014-12-01T00:00:00"/>
    <x v="2"/>
    <x v="2"/>
    <s v="2014"/>
    <n v="83"/>
  </r>
  <r>
    <x v="3"/>
    <x v="0"/>
    <x v="2"/>
    <s v="Low"/>
    <n v="2729"/>
    <n v="10"/>
    <n v="125"/>
    <x v="59"/>
    <n v="6822.5"/>
    <n v="334302.5"/>
    <n v="327480"/>
    <n v="6822.5"/>
    <d v="2014-12-01T00:00:00"/>
    <x v="2"/>
    <x v="2"/>
    <s v="2014"/>
    <n v="2.5"/>
  </r>
  <r>
    <x v="2"/>
    <x v="2"/>
    <x v="2"/>
    <s v="Low"/>
    <n v="1055"/>
    <n v="10"/>
    <n v="12"/>
    <x v="60"/>
    <n v="253.2"/>
    <n v="12406.8"/>
    <n v="3165"/>
    <n v="9241.7999999999993"/>
    <d v="2014-12-01T00:00:00"/>
    <x v="2"/>
    <x v="2"/>
    <s v="2014"/>
    <n v="8.76"/>
  </r>
  <r>
    <x v="2"/>
    <x v="3"/>
    <x v="2"/>
    <s v="Low"/>
    <n v="1084"/>
    <n v="10"/>
    <n v="12"/>
    <x v="61"/>
    <n v="260.16000000000003"/>
    <n v="12747.84"/>
    <n v="3252"/>
    <n v="9495.84"/>
    <d v="2014-12-01T00:00:00"/>
    <x v="2"/>
    <x v="2"/>
    <s v="2014"/>
    <n v="8.76"/>
  </r>
  <r>
    <x v="4"/>
    <x v="1"/>
    <x v="3"/>
    <s v="Low"/>
    <n v="259"/>
    <n v="260"/>
    <n v="300"/>
    <x v="62"/>
    <n v="1554"/>
    <n v="76146"/>
    <n v="64750"/>
    <n v="11396"/>
    <d v="2014-03-01T00:00:00"/>
    <x v="3"/>
    <x v="3"/>
    <s v="2014"/>
    <n v="44"/>
  </r>
  <r>
    <x v="4"/>
    <x v="3"/>
    <x v="3"/>
    <s v="Low"/>
    <n v="1101"/>
    <n v="260"/>
    <n v="300"/>
    <x v="63"/>
    <n v="6606"/>
    <n v="323694"/>
    <n v="275250"/>
    <n v="48444"/>
    <d v="2014-03-01T00:00:00"/>
    <x v="3"/>
    <x v="3"/>
    <s v="2014"/>
    <n v="44"/>
  </r>
  <r>
    <x v="3"/>
    <x v="1"/>
    <x v="3"/>
    <s v="Low"/>
    <n v="2276"/>
    <n v="260"/>
    <n v="125"/>
    <x v="64"/>
    <n v="5690"/>
    <n v="278810"/>
    <n v="273120"/>
    <n v="5690"/>
    <d v="2014-05-01T00:00:00"/>
    <x v="10"/>
    <x v="10"/>
    <s v="2014"/>
    <n v="2.5"/>
  </r>
  <r>
    <x v="0"/>
    <x v="4"/>
    <x v="3"/>
    <s v="Low"/>
    <n v="1236"/>
    <n v="260"/>
    <n v="20"/>
    <x v="65"/>
    <n v="494.4"/>
    <n v="24225.599999999999"/>
    <n v="12360"/>
    <n v="11865.599999999999"/>
    <d v="2014-11-01T00:00:00"/>
    <x v="11"/>
    <x v="11"/>
    <s v="2014"/>
    <n v="9.6"/>
  </r>
  <r>
    <x v="0"/>
    <x v="2"/>
    <x v="3"/>
    <s v="Low"/>
    <n v="941"/>
    <n v="260"/>
    <n v="20"/>
    <x v="66"/>
    <n v="376.4"/>
    <n v="18443.599999999999"/>
    <n v="9410"/>
    <n v="9033.5999999999985"/>
    <d v="2014-11-01T00:00:00"/>
    <x v="11"/>
    <x v="11"/>
    <s v="2014"/>
    <n v="9.5999999999999979"/>
  </r>
  <r>
    <x v="4"/>
    <x v="0"/>
    <x v="3"/>
    <s v="Low"/>
    <n v="1916"/>
    <n v="260"/>
    <n v="300"/>
    <x v="58"/>
    <n v="11496"/>
    <n v="563304"/>
    <n v="479000"/>
    <n v="84304"/>
    <d v="2014-12-01T00:00:00"/>
    <x v="2"/>
    <x v="2"/>
    <s v="2014"/>
    <n v="44"/>
  </r>
  <r>
    <x v="3"/>
    <x v="2"/>
    <x v="0"/>
    <s v="Low"/>
    <n v="4243.5"/>
    <n v="3"/>
    <n v="125"/>
    <x v="67"/>
    <n v="15913.125"/>
    <n v="514524.375"/>
    <n v="509220"/>
    <n v="5304.375"/>
    <d v="2014-04-01T00:00:00"/>
    <x v="9"/>
    <x v="9"/>
    <s v="2014"/>
    <n v="1.25"/>
  </r>
  <r>
    <x v="0"/>
    <x v="1"/>
    <x v="0"/>
    <s v="Low"/>
    <n v="2580"/>
    <n v="3"/>
    <n v="20"/>
    <x v="68"/>
    <n v="1548"/>
    <n v="50052"/>
    <n v="25800"/>
    <n v="24252"/>
    <d v="2014-04-01T00:00:00"/>
    <x v="9"/>
    <x v="9"/>
    <s v="2014"/>
    <n v="9.4"/>
  </r>
  <r>
    <x v="4"/>
    <x v="1"/>
    <x v="0"/>
    <s v="Low"/>
    <n v="689"/>
    <n v="3"/>
    <n v="300"/>
    <x v="69"/>
    <n v="6201"/>
    <n v="200499"/>
    <n v="172250"/>
    <n v="28249"/>
    <d v="2014-06-01T00:00:00"/>
    <x v="1"/>
    <x v="1"/>
    <s v="2014"/>
    <n v="41"/>
  </r>
  <r>
    <x v="2"/>
    <x v="4"/>
    <x v="0"/>
    <s v="Low"/>
    <n v="1947"/>
    <n v="3"/>
    <n v="12"/>
    <x v="70"/>
    <n v="700.92"/>
    <n v="22663.08"/>
    <n v="5841"/>
    <n v="16822.080000000002"/>
    <d v="2014-09-01T00:00:00"/>
    <x v="6"/>
    <x v="6"/>
    <s v="2014"/>
    <n v="8.64"/>
  </r>
  <r>
    <x v="0"/>
    <x v="1"/>
    <x v="1"/>
    <s v="Low"/>
    <n v="1958"/>
    <n v="5"/>
    <n v="7"/>
    <x v="71"/>
    <n v="411.18"/>
    <n v="13294.82"/>
    <n v="9790"/>
    <n v="3504.8199999999997"/>
    <d v="2014-02-01T00:00:00"/>
    <x v="7"/>
    <x v="7"/>
    <s v="2014"/>
    <n v="1.7899999999999998"/>
  </r>
  <r>
    <x v="2"/>
    <x v="2"/>
    <x v="1"/>
    <s v="Low"/>
    <n v="1901"/>
    <n v="5"/>
    <n v="12"/>
    <x v="72"/>
    <n v="684.36"/>
    <n v="22127.64"/>
    <n v="5703"/>
    <n v="16424.64"/>
    <d v="2014-06-01T00:00:00"/>
    <x v="1"/>
    <x v="1"/>
    <s v="2014"/>
    <n v="8.64"/>
  </r>
  <r>
    <x v="0"/>
    <x v="2"/>
    <x v="1"/>
    <s v="Low"/>
    <n v="544"/>
    <n v="5"/>
    <n v="7"/>
    <x v="73"/>
    <n v="114.24"/>
    <n v="3693.76"/>
    <n v="2720"/>
    <n v="973.76000000000022"/>
    <d v="2014-09-01T00:00:00"/>
    <x v="6"/>
    <x v="6"/>
    <s v="2014"/>
    <n v="1.7900000000000005"/>
  </r>
  <r>
    <x v="3"/>
    <x v="2"/>
    <x v="1"/>
    <s v="Low"/>
    <n v="1287"/>
    <n v="5"/>
    <n v="125"/>
    <x v="74"/>
    <n v="4826.25"/>
    <n v="156048.75"/>
    <n v="154440"/>
    <n v="1608.75"/>
    <d v="2014-12-01T00:00:00"/>
    <x v="2"/>
    <x v="2"/>
    <s v="2014"/>
    <n v="1.25"/>
  </r>
  <r>
    <x v="3"/>
    <x v="1"/>
    <x v="1"/>
    <s v="Low"/>
    <n v="1706"/>
    <n v="5"/>
    <n v="125"/>
    <x v="75"/>
    <n v="6397.5"/>
    <n v="206852.5"/>
    <n v="204720"/>
    <n v="2132.5"/>
    <d v="2014-12-01T00:00:00"/>
    <x v="2"/>
    <x v="2"/>
    <s v="2014"/>
    <n v="1.25"/>
  </r>
  <r>
    <x v="4"/>
    <x v="2"/>
    <x v="2"/>
    <s v="Low"/>
    <n v="2434.5"/>
    <n v="10"/>
    <n v="300"/>
    <x v="76"/>
    <n v="21910.5"/>
    <n v="708439.5"/>
    <n v="608625"/>
    <n v="99814.5"/>
    <d v="2014-01-01T00:00:00"/>
    <x v="0"/>
    <x v="0"/>
    <s v="2014"/>
    <n v="41"/>
  </r>
  <r>
    <x v="3"/>
    <x v="0"/>
    <x v="2"/>
    <s v="Low"/>
    <n v="1774"/>
    <n v="10"/>
    <n v="125"/>
    <x v="77"/>
    <n v="6652.5"/>
    <n v="215097.5"/>
    <n v="212880"/>
    <n v="2217.5"/>
    <d v="2014-03-01T00:00:00"/>
    <x v="3"/>
    <x v="3"/>
    <s v="2014"/>
    <n v="1.25"/>
  </r>
  <r>
    <x v="2"/>
    <x v="2"/>
    <x v="2"/>
    <s v="Low"/>
    <n v="1901"/>
    <n v="10"/>
    <n v="12"/>
    <x v="72"/>
    <n v="684.36"/>
    <n v="22127.64"/>
    <n v="5703"/>
    <n v="16424.64"/>
    <d v="2014-06-01T00:00:00"/>
    <x v="1"/>
    <x v="1"/>
    <s v="2014"/>
    <n v="8.64"/>
  </r>
  <r>
    <x v="4"/>
    <x v="1"/>
    <x v="2"/>
    <s v="Low"/>
    <n v="689"/>
    <n v="10"/>
    <n v="300"/>
    <x v="69"/>
    <n v="6201"/>
    <n v="200499"/>
    <n v="172250"/>
    <n v="28249"/>
    <d v="2014-06-01T00:00:00"/>
    <x v="1"/>
    <x v="1"/>
    <s v="2014"/>
    <n v="41"/>
  </r>
  <r>
    <x v="3"/>
    <x v="1"/>
    <x v="2"/>
    <s v="Low"/>
    <n v="1570"/>
    <n v="10"/>
    <n v="125"/>
    <x v="78"/>
    <n v="5887.5"/>
    <n v="190362.5"/>
    <n v="188400"/>
    <n v="1962.5"/>
    <d v="2014-06-01T00:00:00"/>
    <x v="1"/>
    <x v="1"/>
    <s v="2014"/>
    <n v="1.25"/>
  </r>
  <r>
    <x v="2"/>
    <x v="4"/>
    <x v="2"/>
    <s v="Low"/>
    <n v="1369.5"/>
    <n v="10"/>
    <n v="12"/>
    <x v="79"/>
    <n v="493.02"/>
    <n v="15940.98"/>
    <n v="4108.5"/>
    <n v="11832.48"/>
    <d v="2014-07-01T00:00:00"/>
    <x v="4"/>
    <x v="4"/>
    <s v="2014"/>
    <n v="8.64"/>
  </r>
  <r>
    <x v="3"/>
    <x v="0"/>
    <x v="2"/>
    <s v="Low"/>
    <n v="2009"/>
    <n v="10"/>
    <n v="125"/>
    <x v="80"/>
    <n v="7533.75"/>
    <n v="243591.25"/>
    <n v="241080"/>
    <n v="2511.25"/>
    <d v="2014-10-01T00:00:00"/>
    <x v="8"/>
    <x v="8"/>
    <s v="2014"/>
    <n v="1.25"/>
  </r>
  <r>
    <x v="3"/>
    <x v="2"/>
    <x v="2"/>
    <s v="Low"/>
    <n v="1287"/>
    <n v="10"/>
    <n v="125"/>
    <x v="74"/>
    <n v="4826.25"/>
    <n v="156048.75"/>
    <n v="154440"/>
    <n v="1608.75"/>
    <d v="2014-12-01T00:00:00"/>
    <x v="2"/>
    <x v="2"/>
    <s v="2014"/>
    <n v="1.25"/>
  </r>
  <r>
    <x v="3"/>
    <x v="1"/>
    <x v="2"/>
    <s v="Low"/>
    <n v="1706"/>
    <n v="10"/>
    <n v="125"/>
    <x v="75"/>
    <n v="6397.5"/>
    <n v="206852.5"/>
    <n v="204720"/>
    <n v="2132.5"/>
    <d v="2014-12-01T00:00:00"/>
    <x v="2"/>
    <x v="2"/>
    <s v="2014"/>
    <n v="1.25"/>
  </r>
  <r>
    <x v="0"/>
    <x v="0"/>
    <x v="0"/>
    <s v="Low"/>
    <n v="831"/>
    <n v="3"/>
    <n v="20"/>
    <x v="81"/>
    <n v="498.6"/>
    <n v="16121.4"/>
    <n v="8310"/>
    <n v="7811.4"/>
    <d v="2014-05-01T00:00:00"/>
    <x v="10"/>
    <x v="10"/>
    <s v="2014"/>
    <n v="9.4"/>
  </r>
  <r>
    <x v="1"/>
    <x v="3"/>
    <x v="1"/>
    <s v="Low"/>
    <n v="2031"/>
    <n v="5"/>
    <n v="15"/>
    <x v="82"/>
    <n v="1218.5999999999999"/>
    <n v="29246.400000000001"/>
    <n v="20310"/>
    <n v="8936.4000000000015"/>
    <d v="2014-10-01T00:00:00"/>
    <x v="8"/>
    <x v="8"/>
    <s v="2014"/>
    <n v="4.4000000000000004"/>
  </r>
  <r>
    <x v="1"/>
    <x v="3"/>
    <x v="2"/>
    <s v="Low"/>
    <n v="2031"/>
    <n v="10"/>
    <n v="15"/>
    <x v="82"/>
    <n v="1218.5999999999999"/>
    <n v="29246.400000000001"/>
    <n v="20310"/>
    <n v="8936.4000000000015"/>
    <d v="2014-10-01T00:00:00"/>
    <x v="8"/>
    <x v="8"/>
    <s v="2014"/>
    <n v="4.4000000000000004"/>
  </r>
  <r>
    <x v="4"/>
    <x v="1"/>
    <x v="0"/>
    <s v="Low"/>
    <n v="2021"/>
    <n v="3"/>
    <n v="300"/>
    <x v="83"/>
    <n v="24252"/>
    <n v="582048"/>
    <n v="505250"/>
    <n v="76798"/>
    <d v="2014-10-01T00:00:00"/>
    <x v="8"/>
    <x v="8"/>
    <s v="2014"/>
    <n v="38"/>
  </r>
  <r>
    <x v="0"/>
    <x v="4"/>
    <x v="0"/>
    <s v="Low"/>
    <n v="274"/>
    <n v="3"/>
    <n v="350"/>
    <x v="84"/>
    <n v="3836"/>
    <n v="92064"/>
    <n v="71240"/>
    <n v="20824"/>
    <d v="2014-12-01T00:00:00"/>
    <x v="2"/>
    <x v="2"/>
    <s v="2014"/>
    <n v="76"/>
  </r>
  <r>
    <x v="1"/>
    <x v="0"/>
    <x v="1"/>
    <s v="Low"/>
    <n v="1967"/>
    <n v="5"/>
    <n v="15"/>
    <x v="85"/>
    <n v="1180.2"/>
    <n v="28324.799999999999"/>
    <n v="19670"/>
    <n v="8654.7999999999993"/>
    <d v="2014-03-01T00:00:00"/>
    <x v="3"/>
    <x v="3"/>
    <s v="2014"/>
    <n v="4.3999999999999995"/>
  </r>
  <r>
    <x v="4"/>
    <x v="1"/>
    <x v="1"/>
    <s v="Low"/>
    <n v="1859"/>
    <n v="5"/>
    <n v="300"/>
    <x v="86"/>
    <n v="22308"/>
    <n v="535392"/>
    <n v="464750"/>
    <n v="70642"/>
    <d v="2014-08-01T00:00:00"/>
    <x v="5"/>
    <x v="5"/>
    <s v="2014"/>
    <n v="38"/>
  </r>
  <r>
    <x v="4"/>
    <x v="1"/>
    <x v="1"/>
    <s v="Low"/>
    <n v="2021"/>
    <n v="5"/>
    <n v="300"/>
    <x v="83"/>
    <n v="24252"/>
    <n v="582048"/>
    <n v="505250"/>
    <n v="76798"/>
    <d v="2014-10-01T00:00:00"/>
    <x v="8"/>
    <x v="8"/>
    <s v="2014"/>
    <n v="38"/>
  </r>
  <r>
    <x v="3"/>
    <x v="3"/>
    <x v="1"/>
    <s v="Low"/>
    <n v="1138"/>
    <n v="5"/>
    <n v="125"/>
    <x v="87"/>
    <n v="5690"/>
    <n v="136560"/>
    <n v="136560"/>
    <n v="0"/>
    <d v="2014-12-01T00:00:00"/>
    <x v="2"/>
    <x v="2"/>
    <s v="2014"/>
    <n v="0"/>
  </r>
  <r>
    <x v="0"/>
    <x v="0"/>
    <x v="2"/>
    <s v="Low"/>
    <n v="4251"/>
    <n v="10"/>
    <n v="7"/>
    <x v="88"/>
    <n v="1190.28"/>
    <n v="28566.720000000001"/>
    <n v="21255"/>
    <n v="7311.7199999999993"/>
    <d v="2014-01-01T00:00:00"/>
    <x v="0"/>
    <x v="0"/>
    <s v="2014"/>
    <n v="1.7199999999999998"/>
  </r>
  <r>
    <x v="3"/>
    <x v="1"/>
    <x v="2"/>
    <s v="Low"/>
    <n v="795"/>
    <n v="10"/>
    <n v="125"/>
    <x v="89"/>
    <n v="3975"/>
    <n v="95400"/>
    <n v="95400"/>
    <n v="0"/>
    <d v="2014-03-01T00:00:00"/>
    <x v="3"/>
    <x v="3"/>
    <s v="2014"/>
    <n v="0"/>
  </r>
  <r>
    <x v="4"/>
    <x v="1"/>
    <x v="2"/>
    <s v="Low"/>
    <n v="1414.5"/>
    <n v="10"/>
    <n v="300"/>
    <x v="90"/>
    <n v="16974"/>
    <n v="407376"/>
    <n v="353625"/>
    <n v="53751"/>
    <d v="2014-04-01T00:00:00"/>
    <x v="9"/>
    <x v="9"/>
    <s v="2014"/>
    <n v="38"/>
  </r>
  <r>
    <x v="4"/>
    <x v="4"/>
    <x v="2"/>
    <s v="Low"/>
    <n v="2918"/>
    <n v="10"/>
    <n v="300"/>
    <x v="91"/>
    <n v="35016"/>
    <n v="840384"/>
    <n v="729500"/>
    <n v="110884"/>
    <d v="2014-05-01T00:00:00"/>
    <x v="10"/>
    <x v="10"/>
    <s v="2014"/>
    <n v="38"/>
  </r>
  <r>
    <x v="0"/>
    <x v="4"/>
    <x v="2"/>
    <s v="Low"/>
    <n v="3450"/>
    <n v="10"/>
    <n v="350"/>
    <x v="92"/>
    <n v="48300"/>
    <n v="1159200"/>
    <n v="897000"/>
    <n v="262200"/>
    <d v="2014-07-01T00:00:00"/>
    <x v="4"/>
    <x v="4"/>
    <s v="2014"/>
    <n v="76"/>
  </r>
  <r>
    <x v="3"/>
    <x v="2"/>
    <x v="2"/>
    <s v="Low"/>
    <n v="2988"/>
    <n v="10"/>
    <n v="125"/>
    <x v="93"/>
    <n v="14940"/>
    <n v="358560"/>
    <n v="358560"/>
    <n v="0"/>
    <d v="2014-07-01T00:00:00"/>
    <x v="4"/>
    <x v="4"/>
    <s v="2014"/>
    <n v="0"/>
  </r>
  <r>
    <x v="1"/>
    <x v="0"/>
    <x v="2"/>
    <s v="Low"/>
    <n v="218"/>
    <n v="10"/>
    <n v="15"/>
    <x v="94"/>
    <n v="130.80000000000001"/>
    <n v="3139.2"/>
    <n v="2180"/>
    <n v="959.19999999999982"/>
    <d v="2014-09-01T00:00:00"/>
    <x v="6"/>
    <x v="6"/>
    <s v="2014"/>
    <n v="4.3999999999999995"/>
  </r>
  <r>
    <x v="0"/>
    <x v="0"/>
    <x v="2"/>
    <s v="Low"/>
    <n v="2074"/>
    <n v="10"/>
    <n v="20"/>
    <x v="95"/>
    <n v="1659.2"/>
    <n v="39820.800000000003"/>
    <n v="20740"/>
    <n v="19080.800000000003"/>
    <d v="2014-09-01T00:00:00"/>
    <x v="6"/>
    <x v="6"/>
    <s v="2014"/>
    <n v="9.2000000000000011"/>
  </r>
  <r>
    <x v="0"/>
    <x v="4"/>
    <x v="2"/>
    <s v="Low"/>
    <n v="1056"/>
    <n v="10"/>
    <n v="20"/>
    <x v="96"/>
    <n v="844.8"/>
    <n v="20275.2"/>
    <n v="10560"/>
    <n v="9715.2000000000007"/>
    <d v="2014-09-01T00:00:00"/>
    <x v="6"/>
    <x v="6"/>
    <s v="2014"/>
    <n v="9.2000000000000011"/>
  </r>
  <r>
    <x v="0"/>
    <x v="4"/>
    <x v="2"/>
    <s v="Low"/>
    <n v="274"/>
    <n v="10"/>
    <n v="350"/>
    <x v="84"/>
    <n v="3836"/>
    <n v="92064"/>
    <n v="71240"/>
    <n v="20824"/>
    <d v="2014-12-01T00:00:00"/>
    <x v="2"/>
    <x v="2"/>
    <s v="2014"/>
    <n v="76"/>
  </r>
  <r>
    <x v="3"/>
    <x v="3"/>
    <x v="2"/>
    <s v="Low"/>
    <n v="1138"/>
    <n v="10"/>
    <n v="125"/>
    <x v="87"/>
    <n v="5690"/>
    <n v="136560"/>
    <n v="136560"/>
    <n v="0"/>
    <d v="2014-12-01T00:00:00"/>
    <x v="2"/>
    <x v="2"/>
    <s v="2014"/>
    <n v="0"/>
  </r>
  <r>
    <x v="0"/>
    <x v="3"/>
    <x v="3"/>
    <s v="Low"/>
    <n v="1865"/>
    <n v="260"/>
    <n v="350"/>
    <x v="97"/>
    <n v="26110"/>
    <n v="626640"/>
    <n v="484900"/>
    <n v="141740"/>
    <d v="2014-02-01T00:00:00"/>
    <x v="7"/>
    <x v="7"/>
    <s v="2014"/>
    <n v="76"/>
  </r>
  <r>
    <x v="3"/>
    <x v="3"/>
    <x v="3"/>
    <s v="Low"/>
    <n v="1074"/>
    <n v="260"/>
    <n v="125"/>
    <x v="98"/>
    <n v="5370"/>
    <n v="128880"/>
    <n v="128880"/>
    <n v="0"/>
    <d v="2014-04-01T00:00:00"/>
    <x v="9"/>
    <x v="9"/>
    <s v="2014"/>
    <n v="0"/>
  </r>
  <r>
    <x v="0"/>
    <x v="1"/>
    <x v="3"/>
    <s v="Low"/>
    <n v="1907"/>
    <n v="260"/>
    <n v="350"/>
    <x v="99"/>
    <n v="26698"/>
    <n v="640752"/>
    <n v="495820"/>
    <n v="144932"/>
    <d v="2014-09-01T00:00:00"/>
    <x v="6"/>
    <x v="6"/>
    <s v="2014"/>
    <n v="76"/>
  </r>
  <r>
    <x v="0"/>
    <x v="1"/>
    <x v="2"/>
    <s v="Medium"/>
    <n v="1372"/>
    <n v="10"/>
    <n v="7"/>
    <x v="100"/>
    <n v="480.2"/>
    <n v="9123.7999999999993"/>
    <n v="6860"/>
    <n v="2263.7999999999993"/>
    <d v="2014-01-01T00:00:00"/>
    <x v="0"/>
    <x v="0"/>
    <s v="2014"/>
    <n v="1.6499999999999995"/>
  </r>
  <r>
    <x v="0"/>
    <x v="3"/>
    <x v="2"/>
    <s v="Medium"/>
    <n v="2689"/>
    <n v="10"/>
    <n v="7"/>
    <x v="101"/>
    <n v="941.15"/>
    <n v="17881.849999999999"/>
    <n v="13445"/>
    <n v="4436.8499999999985"/>
    <d v="2014-10-01T00:00:00"/>
    <x v="8"/>
    <x v="8"/>
    <s v="2014"/>
    <n v="1.6499999999999995"/>
  </r>
  <r>
    <x v="2"/>
    <x v="0"/>
    <x v="2"/>
    <s v="Medium"/>
    <n v="2431"/>
    <n v="10"/>
    <n v="12"/>
    <x v="102"/>
    <n v="1458.6"/>
    <n v="27713.4"/>
    <n v="7293"/>
    <n v="20420.400000000001"/>
    <d v="2014-12-01T00:00:00"/>
    <x v="2"/>
    <x v="2"/>
    <s v="2014"/>
    <n v="8.4"/>
  </r>
  <r>
    <x v="0"/>
    <x v="3"/>
    <x v="3"/>
    <s v="Medium"/>
    <n v="1683"/>
    <n v="260"/>
    <n v="7"/>
    <x v="103"/>
    <n v="589.04999999999995"/>
    <n v="11191.95"/>
    <n v="8415"/>
    <n v="2776.9500000000007"/>
    <d v="2014-07-01T00:00:00"/>
    <x v="4"/>
    <x v="4"/>
    <s v="2014"/>
    <n v="1.6500000000000004"/>
  </r>
  <r>
    <x v="2"/>
    <x v="3"/>
    <x v="3"/>
    <s v="Medium"/>
    <n v="1123"/>
    <n v="260"/>
    <n v="12"/>
    <x v="104"/>
    <n v="673.8"/>
    <n v="12802.2"/>
    <n v="3369"/>
    <n v="9433.2000000000007"/>
    <d v="2014-08-01T00:00:00"/>
    <x v="5"/>
    <x v="5"/>
    <s v="2014"/>
    <n v="8.4"/>
  </r>
  <r>
    <x v="2"/>
    <x v="2"/>
    <x v="0"/>
    <s v="Medium"/>
    <n v="1865"/>
    <n v="3"/>
    <n v="12"/>
    <x v="105"/>
    <n v="1119"/>
    <n v="21261"/>
    <n v="5595"/>
    <n v="15666"/>
    <d v="2014-02-01T00:00:00"/>
    <x v="7"/>
    <x v="7"/>
    <s v="2014"/>
    <n v="8.4"/>
  </r>
  <r>
    <x v="2"/>
    <x v="1"/>
    <x v="0"/>
    <s v="Medium"/>
    <n v="1116"/>
    <n v="3"/>
    <n v="12"/>
    <x v="106"/>
    <n v="669.6"/>
    <n v="12722.4"/>
    <n v="3348"/>
    <n v="9374.4"/>
    <d v="2014-02-01T00:00:00"/>
    <x v="7"/>
    <x v="7"/>
    <s v="2014"/>
    <n v="8.4"/>
  </r>
  <r>
    <x v="0"/>
    <x v="2"/>
    <x v="0"/>
    <s v="Medium"/>
    <n v="1563"/>
    <n v="3"/>
    <n v="20"/>
    <x v="107"/>
    <n v="1563"/>
    <n v="29697"/>
    <n v="15630"/>
    <n v="14067"/>
    <d v="2014-05-01T00:00:00"/>
    <x v="10"/>
    <x v="10"/>
    <s v="2014"/>
    <n v="9"/>
  </r>
  <r>
    <x v="4"/>
    <x v="4"/>
    <x v="0"/>
    <s v="Medium"/>
    <n v="991"/>
    <n v="3"/>
    <n v="300"/>
    <x v="108"/>
    <n v="14865"/>
    <n v="282435"/>
    <n v="247750"/>
    <n v="34685"/>
    <d v="2014-06-01T00:00:00"/>
    <x v="1"/>
    <x v="1"/>
    <s v="2014"/>
    <n v="35"/>
  </r>
  <r>
    <x v="1"/>
    <x v="3"/>
    <x v="0"/>
    <s v="Medium"/>
    <n v="2791"/>
    <n v="3"/>
    <n v="15"/>
    <x v="109"/>
    <n v="2093.25"/>
    <n v="39771.75"/>
    <n v="27910"/>
    <n v="11861.75"/>
    <d v="2014-11-01T00:00:00"/>
    <x v="11"/>
    <x v="11"/>
    <s v="2014"/>
    <n v="4.25"/>
  </r>
  <r>
    <x v="0"/>
    <x v="4"/>
    <x v="0"/>
    <s v="Medium"/>
    <n v="570"/>
    <n v="3"/>
    <n v="7"/>
    <x v="110"/>
    <n v="199.5"/>
    <n v="3790.5"/>
    <n v="2850"/>
    <n v="940.5"/>
    <d v="2014-12-01T00:00:00"/>
    <x v="2"/>
    <x v="2"/>
    <s v="2014"/>
    <n v="1.65"/>
  </r>
  <r>
    <x v="0"/>
    <x v="2"/>
    <x v="0"/>
    <s v="Medium"/>
    <n v="2487"/>
    <n v="3"/>
    <n v="7"/>
    <x v="111"/>
    <n v="870.45"/>
    <n v="16538.55"/>
    <n v="12435"/>
    <n v="4103.5499999999993"/>
    <d v="2014-12-01T00:00:00"/>
    <x v="2"/>
    <x v="2"/>
    <s v="2014"/>
    <n v="1.6499999999999997"/>
  </r>
  <r>
    <x v="0"/>
    <x v="2"/>
    <x v="1"/>
    <s v="Medium"/>
    <n v="1384.5"/>
    <n v="5"/>
    <n v="350"/>
    <x v="112"/>
    <n v="24228.75"/>
    <n v="460346.25"/>
    <n v="359970"/>
    <n v="100376.25"/>
    <d v="2014-01-01T00:00:00"/>
    <x v="0"/>
    <x v="0"/>
    <s v="2014"/>
    <n v="72.5"/>
  </r>
  <r>
    <x v="2"/>
    <x v="1"/>
    <x v="1"/>
    <s v="Medium"/>
    <n v="2342"/>
    <n v="5"/>
    <n v="12"/>
    <x v="113"/>
    <n v="1405.2"/>
    <n v="26698.799999999999"/>
    <n v="7026"/>
    <n v="19672.8"/>
    <d v="2014-11-01T00:00:00"/>
    <x v="11"/>
    <x v="11"/>
    <s v="2014"/>
    <n v="8.4"/>
  </r>
  <r>
    <x v="0"/>
    <x v="2"/>
    <x v="2"/>
    <s v="Medium"/>
    <n v="1303"/>
    <n v="10"/>
    <n v="20"/>
    <x v="114"/>
    <n v="1303"/>
    <n v="24757"/>
    <n v="13030"/>
    <n v="11727"/>
    <d v="2014-02-01T00:00:00"/>
    <x v="7"/>
    <x v="7"/>
    <s v="2014"/>
    <n v="9"/>
  </r>
  <r>
    <x v="4"/>
    <x v="3"/>
    <x v="2"/>
    <s v="Medium"/>
    <n v="1607"/>
    <n v="10"/>
    <n v="300"/>
    <x v="115"/>
    <n v="24105"/>
    <n v="457995"/>
    <n v="401750"/>
    <n v="56245"/>
    <d v="2014-04-01T00:00:00"/>
    <x v="9"/>
    <x v="9"/>
    <s v="2014"/>
    <n v="35"/>
  </r>
  <r>
    <x v="0"/>
    <x v="4"/>
    <x v="2"/>
    <s v="Medium"/>
    <n v="2327"/>
    <n v="10"/>
    <n v="7"/>
    <x v="116"/>
    <n v="814.45"/>
    <n v="15474.55"/>
    <n v="11635"/>
    <n v="3839.5499999999993"/>
    <d v="2014-05-01T00:00:00"/>
    <x v="10"/>
    <x v="10"/>
    <s v="2014"/>
    <n v="1.6499999999999997"/>
  </r>
  <r>
    <x v="4"/>
    <x v="4"/>
    <x v="2"/>
    <s v="Medium"/>
    <n v="991"/>
    <n v="10"/>
    <n v="300"/>
    <x v="108"/>
    <n v="14865"/>
    <n v="282435"/>
    <n v="247750"/>
    <n v="34685"/>
    <d v="2014-06-01T00:00:00"/>
    <x v="1"/>
    <x v="1"/>
    <s v="2014"/>
    <n v="35"/>
  </r>
  <r>
    <x v="0"/>
    <x v="4"/>
    <x v="2"/>
    <s v="Medium"/>
    <n v="602"/>
    <n v="10"/>
    <n v="350"/>
    <x v="117"/>
    <n v="10535"/>
    <n v="200165"/>
    <n v="156520"/>
    <n v="43645"/>
    <d v="2014-06-01T00:00:00"/>
    <x v="1"/>
    <x v="1"/>
    <s v="2014"/>
    <n v="72.5"/>
  </r>
  <r>
    <x v="1"/>
    <x v="2"/>
    <x v="2"/>
    <s v="Medium"/>
    <n v="2620"/>
    <n v="10"/>
    <n v="15"/>
    <x v="118"/>
    <n v="1965"/>
    <n v="37335"/>
    <n v="26200"/>
    <n v="11135"/>
    <d v="2014-09-01T00:00:00"/>
    <x v="6"/>
    <x v="6"/>
    <s v="2014"/>
    <n v="4.25"/>
  </r>
  <r>
    <x v="0"/>
    <x v="4"/>
    <x v="2"/>
    <s v="Medium"/>
    <n v="2663"/>
    <n v="10"/>
    <n v="20"/>
    <x v="119"/>
    <n v="2663"/>
    <n v="50597"/>
    <n v="26630"/>
    <n v="23967"/>
    <d v="2014-12-01T00:00:00"/>
    <x v="2"/>
    <x v="2"/>
    <s v="2014"/>
    <n v="9"/>
  </r>
  <r>
    <x v="0"/>
    <x v="1"/>
    <x v="3"/>
    <s v="Medium"/>
    <n v="1350"/>
    <n v="260"/>
    <n v="350"/>
    <x v="120"/>
    <n v="23625"/>
    <n v="448875"/>
    <n v="351000"/>
    <n v="97875"/>
    <d v="2014-02-01T00:00:00"/>
    <x v="7"/>
    <x v="7"/>
    <s v="2014"/>
    <n v="72.5"/>
  </r>
  <r>
    <x v="0"/>
    <x v="0"/>
    <x v="3"/>
    <s v="Medium"/>
    <n v="552"/>
    <n v="260"/>
    <n v="350"/>
    <x v="121"/>
    <n v="9660"/>
    <n v="183540"/>
    <n v="143520"/>
    <n v="40020"/>
    <d v="2014-08-01T00:00:00"/>
    <x v="5"/>
    <x v="5"/>
    <s v="2014"/>
    <n v="72.5"/>
  </r>
  <r>
    <x v="4"/>
    <x v="1"/>
    <x v="3"/>
    <s v="Medium"/>
    <n v="1250"/>
    <n v="260"/>
    <n v="300"/>
    <x v="122"/>
    <n v="18750"/>
    <n v="356250"/>
    <n v="312500"/>
    <n v="43750"/>
    <d v="2014-12-01T00:00:00"/>
    <x v="2"/>
    <x v="2"/>
    <s v="2014"/>
    <n v="35"/>
  </r>
  <r>
    <x v="1"/>
    <x v="2"/>
    <x v="2"/>
    <s v="Medium"/>
    <n v="3801"/>
    <n v="10"/>
    <n v="15"/>
    <x v="123"/>
    <n v="3420.8999999999996"/>
    <n v="53594.100000000006"/>
    <n v="38010"/>
    <n v="15584.100000000002"/>
    <d v="2014-04-01T00:00:00"/>
    <x v="9"/>
    <x v="9"/>
    <s v="2014"/>
    <n v="4.1000000000000005"/>
  </r>
  <r>
    <x v="0"/>
    <x v="4"/>
    <x v="0"/>
    <s v="Medium"/>
    <n v="1117.5"/>
    <n v="3"/>
    <n v="20"/>
    <x v="124"/>
    <n v="1341"/>
    <n v="21009"/>
    <n v="11175"/>
    <n v="9834"/>
    <d v="2014-01-01T00:00:00"/>
    <x v="0"/>
    <x v="0"/>
    <s v="2014"/>
    <n v="8.8000000000000007"/>
  </r>
  <r>
    <x v="1"/>
    <x v="0"/>
    <x v="0"/>
    <s v="Medium"/>
    <n v="2844"/>
    <n v="3"/>
    <n v="15"/>
    <x v="125"/>
    <n v="2559.6"/>
    <n v="40100.400000000001"/>
    <n v="28440"/>
    <n v="11660.400000000001"/>
    <d v="2014-06-01T00:00:00"/>
    <x v="1"/>
    <x v="1"/>
    <s v="2014"/>
    <n v="4.1000000000000005"/>
  </r>
  <r>
    <x v="2"/>
    <x v="3"/>
    <x v="0"/>
    <s v="Medium"/>
    <n v="562"/>
    <n v="3"/>
    <n v="12"/>
    <x v="126"/>
    <n v="404.64"/>
    <n v="6339.36"/>
    <n v="1686"/>
    <n v="4653.3599999999997"/>
    <d v="2014-09-01T00:00:00"/>
    <x v="6"/>
    <x v="6"/>
    <s v="2014"/>
    <n v="8.2799999999999994"/>
  </r>
  <r>
    <x v="1"/>
    <x v="4"/>
    <x v="0"/>
    <s v="Medium"/>
    <n v="2030"/>
    <n v="3"/>
    <n v="15"/>
    <x v="127"/>
    <n v="1827"/>
    <n v="28623"/>
    <n v="20300"/>
    <n v="8323"/>
    <d v="2014-11-01T00:00:00"/>
    <x v="11"/>
    <x v="11"/>
    <s v="2014"/>
    <n v="4.0999999999999996"/>
  </r>
  <r>
    <x v="0"/>
    <x v="3"/>
    <x v="1"/>
    <s v="Medium"/>
    <n v="980"/>
    <n v="5"/>
    <n v="350"/>
    <x v="128"/>
    <n v="20580"/>
    <n v="322420"/>
    <n v="254800"/>
    <n v="67620"/>
    <d v="2014-04-01T00:00:00"/>
    <x v="9"/>
    <x v="9"/>
    <s v="2014"/>
    <n v="69"/>
  </r>
  <r>
    <x v="0"/>
    <x v="1"/>
    <x v="1"/>
    <s v="Medium"/>
    <n v="1460"/>
    <n v="5"/>
    <n v="350"/>
    <x v="129"/>
    <n v="30660"/>
    <n v="480340"/>
    <n v="379600"/>
    <n v="100740"/>
    <d v="2014-05-01T00:00:00"/>
    <x v="10"/>
    <x v="10"/>
    <s v="2014"/>
    <n v="69"/>
  </r>
  <r>
    <x v="2"/>
    <x v="4"/>
    <x v="1"/>
    <s v="Medium"/>
    <n v="2723"/>
    <n v="5"/>
    <n v="12"/>
    <x v="130"/>
    <n v="1960.56"/>
    <n v="30715.439999999999"/>
    <n v="8169"/>
    <n v="22546.44"/>
    <d v="2014-11-01T00:00:00"/>
    <x v="11"/>
    <x v="11"/>
    <s v="2014"/>
    <n v="8.2799999999999994"/>
  </r>
  <r>
    <x v="0"/>
    <x v="2"/>
    <x v="2"/>
    <s v="Medium"/>
    <n v="1496"/>
    <n v="10"/>
    <n v="350"/>
    <x v="131"/>
    <n v="31416"/>
    <n v="492184"/>
    <n v="388960"/>
    <n v="103224"/>
    <d v="2014-06-01T00:00:00"/>
    <x v="1"/>
    <x v="1"/>
    <s v="2014"/>
    <n v="69"/>
  </r>
  <r>
    <x v="0"/>
    <x v="3"/>
    <x v="3"/>
    <s v="Medium"/>
    <n v="1679"/>
    <n v="260"/>
    <n v="350"/>
    <x v="132"/>
    <n v="35259"/>
    <n v="552391"/>
    <n v="436540"/>
    <n v="115851"/>
    <d v="2014-09-01T00:00:00"/>
    <x v="6"/>
    <x v="6"/>
    <s v="2014"/>
    <n v="69"/>
  </r>
  <r>
    <x v="1"/>
    <x v="4"/>
    <x v="2"/>
    <s v="Medium"/>
    <n v="2198"/>
    <n v="10"/>
    <n v="15"/>
    <x v="133"/>
    <n v="1978.2"/>
    <n v="30991.8"/>
    <n v="21980"/>
    <n v="9011.7999999999993"/>
    <d v="2014-08-01T00:00:00"/>
    <x v="5"/>
    <x v="5"/>
    <s v="2014"/>
    <n v="4.0999999999999996"/>
  </r>
  <r>
    <x v="1"/>
    <x v="1"/>
    <x v="2"/>
    <s v="Medium"/>
    <n v="1743"/>
    <n v="10"/>
    <n v="15"/>
    <x v="134"/>
    <n v="1568.7"/>
    <n v="24576.3"/>
    <n v="17430"/>
    <n v="7146.2999999999993"/>
    <d v="2014-08-01T00:00:00"/>
    <x v="5"/>
    <x v="5"/>
    <s v="2014"/>
    <n v="4.0999999999999996"/>
  </r>
  <r>
    <x v="1"/>
    <x v="4"/>
    <x v="2"/>
    <s v="Medium"/>
    <n v="1153"/>
    <n v="10"/>
    <n v="15"/>
    <x v="135"/>
    <n v="1037.7"/>
    <n v="16257.3"/>
    <n v="11530"/>
    <n v="4727.2999999999993"/>
    <d v="2014-10-01T00:00:00"/>
    <x v="8"/>
    <x v="8"/>
    <s v="2014"/>
    <n v="4.0999999999999996"/>
  </r>
  <r>
    <x v="2"/>
    <x v="3"/>
    <x v="0"/>
    <s v="Medium"/>
    <n v="727"/>
    <n v="3"/>
    <n v="12"/>
    <x v="136"/>
    <n v="610.67999999999995"/>
    <n v="8113.32"/>
    <n v="2181"/>
    <n v="5932.32"/>
    <d v="2014-02-01T00:00:00"/>
    <x v="7"/>
    <x v="7"/>
    <s v="2014"/>
    <n v="8.16"/>
  </r>
  <r>
    <x v="2"/>
    <x v="0"/>
    <x v="0"/>
    <s v="Medium"/>
    <n v="1884"/>
    <n v="3"/>
    <n v="12"/>
    <x v="137"/>
    <n v="1582.56"/>
    <n v="21025.439999999999"/>
    <n v="5652"/>
    <n v="15373.439999999999"/>
    <d v="2014-08-01T00:00:00"/>
    <x v="5"/>
    <x v="5"/>
    <s v="2014"/>
    <n v="8.16"/>
  </r>
  <r>
    <x v="2"/>
    <x v="3"/>
    <x v="1"/>
    <s v="Medium"/>
    <n v="2340"/>
    <n v="5"/>
    <n v="12"/>
    <x v="138"/>
    <n v="1965.6"/>
    <n v="26114.400000000001"/>
    <n v="7020"/>
    <n v="19094.400000000001"/>
    <d v="2014-01-01T00:00:00"/>
    <x v="0"/>
    <x v="0"/>
    <s v="2014"/>
    <n v="8.16"/>
  </r>
  <r>
    <x v="2"/>
    <x v="2"/>
    <x v="1"/>
    <s v="Medium"/>
    <n v="2342"/>
    <n v="5"/>
    <n v="12"/>
    <x v="113"/>
    <n v="1967.28"/>
    <n v="26136.720000000001"/>
    <n v="7026"/>
    <n v="19110.72"/>
    <d v="2014-11-01T00:00:00"/>
    <x v="11"/>
    <x v="11"/>
    <s v="2014"/>
    <n v="8.16"/>
  </r>
  <r>
    <x v="0"/>
    <x v="0"/>
    <x v="3"/>
    <s v="Medium"/>
    <n v="1135"/>
    <n v="260"/>
    <n v="7"/>
    <x v="139"/>
    <n v="556.15"/>
    <n v="7388.85"/>
    <n v="5675"/>
    <n v="1713.8500000000004"/>
    <d v="2014-06-01T00:00:00"/>
    <x v="1"/>
    <x v="1"/>
    <s v="2014"/>
    <n v="1.5100000000000002"/>
  </r>
  <r>
    <x v="0"/>
    <x v="4"/>
    <x v="0"/>
    <s v="Medium"/>
    <n v="1761"/>
    <n v="3"/>
    <n v="350"/>
    <x v="140"/>
    <n v="43144.5"/>
    <n v="573205.5"/>
    <n v="457860"/>
    <n v="115345.5"/>
    <d v="2014-03-01T00:00:00"/>
    <x v="3"/>
    <x v="3"/>
    <s v="2014"/>
    <n v="65.5"/>
  </r>
  <r>
    <x v="4"/>
    <x v="2"/>
    <x v="0"/>
    <s v="Medium"/>
    <n v="448"/>
    <n v="3"/>
    <n v="300"/>
    <x v="141"/>
    <n v="9408"/>
    <n v="124992"/>
    <n v="112000"/>
    <n v="12992"/>
    <d v="2014-06-01T00:00:00"/>
    <x v="1"/>
    <x v="1"/>
    <s v="2014"/>
    <n v="29"/>
  </r>
  <r>
    <x v="4"/>
    <x v="2"/>
    <x v="0"/>
    <s v="Medium"/>
    <n v="2181"/>
    <n v="3"/>
    <n v="300"/>
    <x v="142"/>
    <n v="45801"/>
    <n v="608499"/>
    <n v="545250"/>
    <n v="63249"/>
    <d v="2014-10-01T00:00:00"/>
    <x v="8"/>
    <x v="8"/>
    <s v="2014"/>
    <n v="29"/>
  </r>
  <r>
    <x v="0"/>
    <x v="2"/>
    <x v="1"/>
    <s v="Medium"/>
    <n v="1976"/>
    <n v="5"/>
    <n v="20"/>
    <x v="143"/>
    <n v="2766.4"/>
    <n v="36753.599999999999"/>
    <n v="19760"/>
    <n v="16993.599999999999"/>
    <d v="2014-10-01T00:00:00"/>
    <x v="8"/>
    <x v="8"/>
    <s v="2014"/>
    <n v="8.6"/>
  </r>
  <r>
    <x v="4"/>
    <x v="2"/>
    <x v="1"/>
    <s v="Medium"/>
    <n v="2181"/>
    <n v="5"/>
    <n v="300"/>
    <x v="142"/>
    <n v="45801"/>
    <n v="608499"/>
    <n v="545250"/>
    <n v="63249"/>
    <d v="2014-10-01T00:00:00"/>
    <x v="8"/>
    <x v="8"/>
    <s v="2014"/>
    <n v="29"/>
  </r>
  <r>
    <x v="4"/>
    <x v="0"/>
    <x v="2"/>
    <s v="Medium"/>
    <n v="1702"/>
    <n v="10"/>
    <n v="300"/>
    <x v="144"/>
    <n v="35742"/>
    <n v="474858"/>
    <n v="425500"/>
    <n v="49358"/>
    <d v="2014-05-01T00:00:00"/>
    <x v="10"/>
    <x v="10"/>
    <s v="2014"/>
    <n v="29"/>
  </r>
  <r>
    <x v="4"/>
    <x v="2"/>
    <x v="2"/>
    <s v="Medium"/>
    <n v="448"/>
    <n v="10"/>
    <n v="300"/>
    <x v="141"/>
    <n v="9408"/>
    <n v="124992"/>
    <n v="112000"/>
    <n v="12992"/>
    <d v="2014-06-01T00:00:00"/>
    <x v="1"/>
    <x v="1"/>
    <s v="2014"/>
    <n v="29"/>
  </r>
  <r>
    <x v="1"/>
    <x v="2"/>
    <x v="2"/>
    <s v="Medium"/>
    <n v="2101"/>
    <n v="10"/>
    <n v="15"/>
    <x v="145"/>
    <n v="2206.0500000000002"/>
    <n v="29308.95"/>
    <n v="21010"/>
    <n v="8298.9500000000007"/>
    <d v="2014-08-01T00:00:00"/>
    <x v="5"/>
    <x v="5"/>
    <s v="2014"/>
    <n v="3.95"/>
  </r>
  <r>
    <x v="0"/>
    <x v="2"/>
    <x v="2"/>
    <s v="Medium"/>
    <n v="1535"/>
    <n v="10"/>
    <n v="20"/>
    <x v="146"/>
    <n v="2149"/>
    <n v="28551"/>
    <n v="15350"/>
    <n v="13201"/>
    <d v="2014-09-01T00:00:00"/>
    <x v="6"/>
    <x v="6"/>
    <s v="2014"/>
    <n v="8.6"/>
  </r>
  <r>
    <x v="0"/>
    <x v="2"/>
    <x v="3"/>
    <s v="Medium"/>
    <n v="2876"/>
    <n v="260"/>
    <n v="350"/>
    <x v="147"/>
    <n v="70462"/>
    <n v="936138"/>
    <n v="747760"/>
    <n v="188378"/>
    <d v="2014-09-01T00:00:00"/>
    <x v="6"/>
    <x v="6"/>
    <s v="2014"/>
    <n v="65.5"/>
  </r>
  <r>
    <x v="0"/>
    <x v="0"/>
    <x v="3"/>
    <s v="Medium"/>
    <n v="1118"/>
    <n v="260"/>
    <n v="20"/>
    <x v="148"/>
    <n v="1565.2"/>
    <n v="20794.8"/>
    <n v="11180"/>
    <n v="9614.7999999999993"/>
    <d v="2014-11-01T00:00:00"/>
    <x v="11"/>
    <x v="11"/>
    <s v="2014"/>
    <n v="8.6"/>
  </r>
  <r>
    <x v="4"/>
    <x v="4"/>
    <x v="3"/>
    <s v="Medium"/>
    <n v="1372"/>
    <n v="260"/>
    <n v="300"/>
    <x v="149"/>
    <n v="28812"/>
    <n v="382788"/>
    <n v="343000"/>
    <n v="39788"/>
    <d v="2014-12-01T00:00:00"/>
    <x v="2"/>
    <x v="2"/>
    <s v="2014"/>
    <n v="29"/>
  </r>
  <r>
    <x v="0"/>
    <x v="0"/>
    <x v="1"/>
    <s v="Medium"/>
    <n v="488"/>
    <n v="5"/>
    <n v="7"/>
    <x v="150"/>
    <n v="273.27999999999997"/>
    <n v="3142.7200000000003"/>
    <n v="2440"/>
    <n v="702.72000000000025"/>
    <d v="2014-02-01T00:00:00"/>
    <x v="7"/>
    <x v="7"/>
    <s v="2014"/>
    <n v="1.4400000000000006"/>
  </r>
  <r>
    <x v="0"/>
    <x v="4"/>
    <x v="1"/>
    <s v="Medium"/>
    <n v="1282"/>
    <n v="5"/>
    <n v="20"/>
    <x v="151"/>
    <n v="2051.1999999999998"/>
    <n v="23588.799999999999"/>
    <n v="12820"/>
    <n v="10768.8"/>
    <d v="2014-06-01T00:00:00"/>
    <x v="1"/>
    <x v="1"/>
    <s v="2014"/>
    <n v="8.3999999999999986"/>
  </r>
  <r>
    <x v="0"/>
    <x v="0"/>
    <x v="2"/>
    <s v="Medium"/>
    <n v="257"/>
    <n v="10"/>
    <n v="7"/>
    <x v="152"/>
    <n v="143.91999999999999"/>
    <n v="1655.08"/>
    <n v="1285"/>
    <n v="370.07999999999993"/>
    <d v="2014-05-01T00:00:00"/>
    <x v="10"/>
    <x v="10"/>
    <s v="2014"/>
    <n v="1.4399999999999997"/>
  </r>
  <r>
    <x v="0"/>
    <x v="4"/>
    <x v="3"/>
    <s v="Medium"/>
    <n v="1282"/>
    <n v="260"/>
    <n v="20"/>
    <x v="151"/>
    <n v="2051.1999999999998"/>
    <n v="23588.799999999999"/>
    <n v="12820"/>
    <n v="10768.8"/>
    <d v="2014-06-01T00:00:00"/>
    <x v="1"/>
    <x v="1"/>
    <s v="2014"/>
    <n v="8.3999999999999986"/>
  </r>
  <r>
    <x v="1"/>
    <x v="2"/>
    <x v="0"/>
    <s v="Medium"/>
    <n v="490"/>
    <n v="3"/>
    <n v="15"/>
    <x v="153"/>
    <n v="588"/>
    <n v="6762"/>
    <n v="4900"/>
    <n v="1862"/>
    <d v="2014-11-01T00:00:00"/>
    <x v="11"/>
    <x v="11"/>
    <s v="2014"/>
    <n v="3.8"/>
  </r>
  <r>
    <x v="0"/>
    <x v="3"/>
    <x v="0"/>
    <s v="Medium"/>
    <n v="1362"/>
    <n v="3"/>
    <n v="350"/>
    <x v="154"/>
    <n v="38136"/>
    <n v="438564"/>
    <n v="354120"/>
    <n v="84444"/>
    <d v="2014-12-01T00:00:00"/>
    <x v="2"/>
    <x v="2"/>
    <s v="2014"/>
    <n v="62"/>
  </r>
  <r>
    <x v="1"/>
    <x v="2"/>
    <x v="1"/>
    <s v="Medium"/>
    <n v="2501"/>
    <n v="5"/>
    <n v="15"/>
    <x v="155"/>
    <n v="3001.2"/>
    <n v="34513.800000000003"/>
    <n v="25010"/>
    <n v="9503.8000000000029"/>
    <d v="2014-03-01T00:00:00"/>
    <x v="3"/>
    <x v="3"/>
    <s v="2014"/>
    <n v="3.8000000000000012"/>
  </r>
  <r>
    <x v="0"/>
    <x v="0"/>
    <x v="1"/>
    <s v="Medium"/>
    <n v="708"/>
    <n v="5"/>
    <n v="20"/>
    <x v="156"/>
    <n v="1132.8"/>
    <n v="13027.2"/>
    <n v="7080"/>
    <n v="5947.2000000000007"/>
    <d v="2014-06-01T00:00:00"/>
    <x v="1"/>
    <x v="1"/>
    <s v="2014"/>
    <n v="8.4"/>
  </r>
  <r>
    <x v="0"/>
    <x v="1"/>
    <x v="1"/>
    <s v="Medium"/>
    <n v="645"/>
    <n v="5"/>
    <n v="20"/>
    <x v="157"/>
    <n v="1032"/>
    <n v="11868"/>
    <n v="6450"/>
    <n v="5418"/>
    <d v="2014-07-01T00:00:00"/>
    <x v="4"/>
    <x v="4"/>
    <s v="2014"/>
    <n v="8.4"/>
  </r>
  <r>
    <x v="4"/>
    <x v="2"/>
    <x v="1"/>
    <s v="Medium"/>
    <n v="1562"/>
    <n v="5"/>
    <n v="300"/>
    <x v="158"/>
    <n v="37488"/>
    <n v="431112"/>
    <n v="390500"/>
    <n v="40612"/>
    <d v="2014-08-01T00:00:00"/>
    <x v="5"/>
    <x v="5"/>
    <s v="2014"/>
    <n v="26"/>
  </r>
  <r>
    <x v="1"/>
    <x v="1"/>
    <x v="1"/>
    <s v="Medium"/>
    <n v="711"/>
    <n v="5"/>
    <n v="15"/>
    <x v="159"/>
    <n v="853.2"/>
    <n v="9811.7999999999993"/>
    <n v="7110"/>
    <n v="2701.7999999999993"/>
    <d v="2014-12-01T00:00:00"/>
    <x v="2"/>
    <x v="2"/>
    <s v="2014"/>
    <n v="3.7999999999999989"/>
  </r>
  <r>
    <x v="0"/>
    <x v="1"/>
    <x v="2"/>
    <s v="Medium"/>
    <n v="1259"/>
    <n v="10"/>
    <n v="7"/>
    <x v="160"/>
    <n v="705.04"/>
    <n v="8107.96"/>
    <n v="6295"/>
    <n v="1812.96"/>
    <d v="2014-04-01T00:00:00"/>
    <x v="9"/>
    <x v="9"/>
    <s v="2014"/>
    <n v="1.44"/>
  </r>
  <r>
    <x v="0"/>
    <x v="1"/>
    <x v="2"/>
    <s v="Medium"/>
    <n v="1095"/>
    <n v="10"/>
    <n v="7"/>
    <x v="161"/>
    <n v="613.20000000000005"/>
    <n v="7051.8"/>
    <n v="5475"/>
    <n v="1576.8000000000002"/>
    <d v="2014-05-01T00:00:00"/>
    <x v="10"/>
    <x v="10"/>
    <s v="2014"/>
    <n v="1.4400000000000002"/>
  </r>
  <r>
    <x v="0"/>
    <x v="1"/>
    <x v="2"/>
    <s v="Medium"/>
    <n v="1366"/>
    <n v="10"/>
    <n v="20"/>
    <x v="162"/>
    <n v="2185.6"/>
    <n v="25134.400000000001"/>
    <n v="13660"/>
    <n v="11474.400000000001"/>
    <d v="2014-06-01T00:00:00"/>
    <x v="1"/>
    <x v="1"/>
    <s v="2014"/>
    <n v="8.4"/>
  </r>
  <r>
    <x v="4"/>
    <x v="3"/>
    <x v="2"/>
    <s v="Medium"/>
    <n v="2460"/>
    <n v="10"/>
    <n v="300"/>
    <x v="163"/>
    <n v="59040"/>
    <n v="678960"/>
    <n v="615000"/>
    <n v="63960"/>
    <d v="2014-06-01T00:00:00"/>
    <x v="1"/>
    <x v="1"/>
    <s v="2014"/>
    <n v="26"/>
  </r>
  <r>
    <x v="0"/>
    <x v="4"/>
    <x v="2"/>
    <s v="Medium"/>
    <n v="678"/>
    <n v="10"/>
    <n v="7"/>
    <x v="164"/>
    <n v="379.68"/>
    <n v="4366.32"/>
    <n v="3390"/>
    <n v="976.31999999999971"/>
    <d v="2014-08-01T00:00:00"/>
    <x v="5"/>
    <x v="5"/>
    <s v="2014"/>
    <n v="1.4399999999999995"/>
  </r>
  <r>
    <x v="0"/>
    <x v="1"/>
    <x v="2"/>
    <s v="Medium"/>
    <n v="1598"/>
    <n v="10"/>
    <n v="7"/>
    <x v="165"/>
    <n v="894.88"/>
    <n v="10291.120000000001"/>
    <n v="7990"/>
    <n v="2301.1200000000008"/>
    <d v="2014-08-01T00:00:00"/>
    <x v="5"/>
    <x v="5"/>
    <s v="2014"/>
    <n v="1.4400000000000004"/>
  </r>
  <r>
    <x v="0"/>
    <x v="1"/>
    <x v="2"/>
    <s v="Medium"/>
    <n v="1934"/>
    <n v="10"/>
    <n v="20"/>
    <x v="166"/>
    <n v="3094.4"/>
    <n v="35585.599999999999"/>
    <n v="19340"/>
    <n v="16245.599999999999"/>
    <d v="2014-09-01T00:00:00"/>
    <x v="6"/>
    <x v="6"/>
    <s v="2014"/>
    <n v="8.3999999999999986"/>
  </r>
  <r>
    <x v="0"/>
    <x v="3"/>
    <x v="2"/>
    <s v="Medium"/>
    <n v="2993"/>
    <n v="10"/>
    <n v="20"/>
    <x v="167"/>
    <n v="4788.8"/>
    <n v="55071.199999999997"/>
    <n v="29930"/>
    <n v="25141.199999999997"/>
    <d v="2014-09-01T00:00:00"/>
    <x v="6"/>
    <x v="6"/>
    <s v="2014"/>
    <n v="8.3999999999999986"/>
  </r>
  <r>
    <x v="0"/>
    <x v="3"/>
    <x v="2"/>
    <s v="Medium"/>
    <n v="1362"/>
    <n v="10"/>
    <n v="350"/>
    <x v="154"/>
    <n v="38136"/>
    <n v="438564"/>
    <n v="354120"/>
    <n v="84444"/>
    <d v="2014-12-01T00:00:00"/>
    <x v="2"/>
    <x v="2"/>
    <s v="2014"/>
    <n v="62"/>
  </r>
  <r>
    <x v="0"/>
    <x v="0"/>
    <x v="3"/>
    <s v="Medium"/>
    <n v="708"/>
    <n v="260"/>
    <n v="20"/>
    <x v="156"/>
    <n v="1132.8"/>
    <n v="13027.2"/>
    <n v="7080"/>
    <n v="5947.2000000000007"/>
    <d v="2014-06-01T00:00:00"/>
    <x v="1"/>
    <x v="1"/>
    <s v="2014"/>
    <n v="8.4"/>
  </r>
  <r>
    <x v="0"/>
    <x v="4"/>
    <x v="3"/>
    <s v="Medium"/>
    <n v="2907"/>
    <n v="260"/>
    <n v="7"/>
    <x v="168"/>
    <n v="1627.92"/>
    <n v="18721.080000000002"/>
    <n v="14535"/>
    <n v="4186.0800000000017"/>
    <d v="2014-06-01T00:00:00"/>
    <x v="1"/>
    <x v="1"/>
    <s v="2014"/>
    <n v="1.4400000000000006"/>
  </r>
  <r>
    <x v="0"/>
    <x v="1"/>
    <x v="3"/>
    <s v="Medium"/>
    <n v="1366"/>
    <n v="260"/>
    <n v="20"/>
    <x v="162"/>
    <n v="2185.6"/>
    <n v="25134.400000000001"/>
    <n v="13660"/>
    <n v="11474.400000000001"/>
    <d v="2014-06-01T00:00:00"/>
    <x v="1"/>
    <x v="1"/>
    <s v="2014"/>
    <n v="8.4"/>
  </r>
  <r>
    <x v="4"/>
    <x v="3"/>
    <x v="3"/>
    <s v="Medium"/>
    <n v="2460"/>
    <n v="260"/>
    <n v="300"/>
    <x v="163"/>
    <n v="59040"/>
    <n v="678960"/>
    <n v="615000"/>
    <n v="63960"/>
    <d v="2014-06-01T00:00:00"/>
    <x v="1"/>
    <x v="1"/>
    <s v="2014"/>
    <n v="26"/>
  </r>
  <r>
    <x v="0"/>
    <x v="1"/>
    <x v="3"/>
    <s v="Medium"/>
    <n v="1520"/>
    <n v="260"/>
    <n v="20"/>
    <x v="169"/>
    <n v="2432"/>
    <n v="27968"/>
    <n v="15200"/>
    <n v="12768"/>
    <d v="2014-11-01T00:00:00"/>
    <x v="11"/>
    <x v="11"/>
    <s v="2014"/>
    <n v="8.4"/>
  </r>
  <r>
    <x v="1"/>
    <x v="1"/>
    <x v="3"/>
    <s v="Medium"/>
    <n v="711"/>
    <n v="260"/>
    <n v="15"/>
    <x v="159"/>
    <n v="853.2"/>
    <n v="9811.7999999999993"/>
    <n v="7110"/>
    <n v="2701.7999999999993"/>
    <d v="2014-12-01T00:00:00"/>
    <x v="2"/>
    <x v="2"/>
    <s v="2014"/>
    <n v="3.7999999999999989"/>
  </r>
  <r>
    <x v="4"/>
    <x v="3"/>
    <x v="3"/>
    <s v="Medium"/>
    <n v="635"/>
    <n v="260"/>
    <n v="300"/>
    <x v="170"/>
    <n v="15240"/>
    <n v="175260"/>
    <n v="158750"/>
    <n v="16510"/>
    <d v="2014-12-01T00:00:00"/>
    <x v="2"/>
    <x v="2"/>
    <s v="2014"/>
    <n v="26"/>
  </r>
  <r>
    <x v="4"/>
    <x v="0"/>
    <x v="0"/>
    <s v="Medium"/>
    <n v="1094"/>
    <n v="3"/>
    <n v="300"/>
    <x v="171"/>
    <n v="29538"/>
    <n v="298662"/>
    <n v="273500"/>
    <n v="25162"/>
    <d v="2014-06-01T00:00:00"/>
    <x v="1"/>
    <x v="1"/>
    <s v="2014"/>
    <n v="23"/>
  </r>
  <r>
    <x v="4"/>
    <x v="0"/>
    <x v="1"/>
    <s v="Medium"/>
    <n v="3802.5"/>
    <n v="5"/>
    <n v="300"/>
    <x v="172"/>
    <n v="102667.5"/>
    <n v="1038082.5"/>
    <n v="950625"/>
    <n v="87457.5"/>
    <d v="2014-04-01T00:00:00"/>
    <x v="9"/>
    <x v="9"/>
    <s v="2014"/>
    <n v="23"/>
  </r>
  <r>
    <x v="0"/>
    <x v="2"/>
    <x v="1"/>
    <s v="Medium"/>
    <n v="1666"/>
    <n v="5"/>
    <n v="350"/>
    <x v="173"/>
    <n v="52479"/>
    <n v="530621"/>
    <n v="433160"/>
    <n v="97461"/>
    <d v="2014-05-01T00:00:00"/>
    <x v="10"/>
    <x v="10"/>
    <s v="2014"/>
    <n v="58.5"/>
  </r>
  <r>
    <x v="2"/>
    <x v="0"/>
    <x v="1"/>
    <s v="Medium"/>
    <n v="2321"/>
    <n v="5"/>
    <n v="12"/>
    <x v="174"/>
    <n v="2506.6799999999998"/>
    <n v="25345.32"/>
    <n v="6963"/>
    <n v="18382.32"/>
    <d v="2014-11-01T00:00:00"/>
    <x v="11"/>
    <x v="11"/>
    <s v="2014"/>
    <n v="7.92"/>
  </r>
  <r>
    <x v="4"/>
    <x v="3"/>
    <x v="2"/>
    <s v="Medium"/>
    <n v="2565"/>
    <n v="10"/>
    <n v="300"/>
    <x v="175"/>
    <n v="69255"/>
    <n v="700245"/>
    <n v="641250"/>
    <n v="58995"/>
    <d v="2014-01-01T00:00:00"/>
    <x v="0"/>
    <x v="0"/>
    <s v="2014"/>
    <n v="23"/>
  </r>
  <r>
    <x v="0"/>
    <x v="3"/>
    <x v="2"/>
    <s v="Medium"/>
    <n v="2417"/>
    <n v="10"/>
    <n v="350"/>
    <x v="176"/>
    <n v="76135.5"/>
    <n v="769814.5"/>
    <n v="628420"/>
    <n v="141394.5"/>
    <d v="2014-01-01T00:00:00"/>
    <x v="0"/>
    <x v="0"/>
    <s v="2014"/>
    <n v="58.5"/>
  </r>
  <r>
    <x v="1"/>
    <x v="4"/>
    <x v="2"/>
    <s v="Medium"/>
    <n v="3675"/>
    <n v="10"/>
    <n v="15"/>
    <x v="177"/>
    <n v="4961.25"/>
    <n v="50163.75"/>
    <n v="36750"/>
    <n v="13413.75"/>
    <d v="2014-04-01T00:00:00"/>
    <x v="9"/>
    <x v="9"/>
    <s v="2014"/>
    <n v="3.65"/>
  </r>
  <r>
    <x v="4"/>
    <x v="0"/>
    <x v="2"/>
    <s v="Medium"/>
    <n v="1094"/>
    <n v="10"/>
    <n v="300"/>
    <x v="171"/>
    <n v="29538"/>
    <n v="298662"/>
    <n v="273500"/>
    <n v="25162"/>
    <d v="2014-06-01T00:00:00"/>
    <x v="1"/>
    <x v="1"/>
    <s v="2014"/>
    <n v="23"/>
  </r>
  <r>
    <x v="1"/>
    <x v="2"/>
    <x v="2"/>
    <s v="Medium"/>
    <n v="1227"/>
    <n v="10"/>
    <n v="15"/>
    <x v="178"/>
    <n v="1656.45"/>
    <n v="16748.55"/>
    <n v="12270"/>
    <n v="4478.5499999999993"/>
    <d v="2014-10-01T00:00:00"/>
    <x v="8"/>
    <x v="8"/>
    <s v="2014"/>
    <n v="3.6499999999999995"/>
  </r>
  <r>
    <x v="4"/>
    <x v="2"/>
    <x v="2"/>
    <s v="Medium"/>
    <n v="1324"/>
    <n v="10"/>
    <n v="300"/>
    <x v="179"/>
    <n v="35748"/>
    <n v="361452"/>
    <n v="331000"/>
    <n v="30452"/>
    <d v="2014-11-01T00:00:00"/>
    <x v="11"/>
    <x v="11"/>
    <s v="2014"/>
    <n v="23"/>
  </r>
  <r>
    <x v="0"/>
    <x v="4"/>
    <x v="3"/>
    <s v="Medium"/>
    <n v="2071"/>
    <n v="260"/>
    <n v="350"/>
    <x v="180"/>
    <n v="65236.5"/>
    <n v="659613.5"/>
    <n v="538460"/>
    <n v="121153.5"/>
    <d v="2014-09-01T00:00:00"/>
    <x v="6"/>
    <x v="6"/>
    <s v="2014"/>
    <n v="58.5"/>
  </r>
  <r>
    <x v="0"/>
    <x v="0"/>
    <x v="3"/>
    <s v="Medium"/>
    <n v="1269"/>
    <n v="260"/>
    <n v="350"/>
    <x v="181"/>
    <n v="39973.5"/>
    <n v="404176.5"/>
    <n v="329940"/>
    <n v="74236.5"/>
    <d v="2014-10-01T00:00:00"/>
    <x v="8"/>
    <x v="8"/>
    <s v="2014"/>
    <n v="58.5"/>
  </r>
  <r>
    <x v="0"/>
    <x v="3"/>
    <x v="3"/>
    <s v="Medium"/>
    <n v="1694"/>
    <n v="260"/>
    <n v="20"/>
    <x v="182"/>
    <n v="3049.2"/>
    <n v="30830.799999999999"/>
    <n v="16940"/>
    <n v="13890.8"/>
    <d v="2014-11-01T00:00:00"/>
    <x v="11"/>
    <x v="11"/>
    <s v="2014"/>
    <n v="8.1999999999999993"/>
  </r>
  <r>
    <x v="0"/>
    <x v="1"/>
    <x v="0"/>
    <s v="Medium"/>
    <n v="663"/>
    <n v="3"/>
    <n v="20"/>
    <x v="183"/>
    <n v="1193.4000000000001"/>
    <n v="12066.6"/>
    <n v="6630"/>
    <n v="5436.6"/>
    <d v="2014-05-01T00:00:00"/>
    <x v="10"/>
    <x v="10"/>
    <s v="2014"/>
    <n v="8.2000000000000011"/>
  </r>
  <r>
    <x v="0"/>
    <x v="0"/>
    <x v="0"/>
    <s v="Medium"/>
    <n v="819"/>
    <n v="3"/>
    <n v="7"/>
    <x v="184"/>
    <n v="515.97"/>
    <n v="5217.03"/>
    <n v="4095"/>
    <n v="1122.03"/>
    <d v="2014-07-01T00:00:00"/>
    <x v="4"/>
    <x v="4"/>
    <s v="2014"/>
    <n v="1.3699999999999999"/>
  </r>
  <r>
    <x v="2"/>
    <x v="1"/>
    <x v="0"/>
    <s v="Medium"/>
    <n v="1580"/>
    <n v="3"/>
    <n v="12"/>
    <x v="185"/>
    <n v="1706.4"/>
    <n v="17253.599999999999"/>
    <n v="4740"/>
    <n v="12513.599999999999"/>
    <d v="2014-09-01T00:00:00"/>
    <x v="6"/>
    <x v="6"/>
    <s v="2014"/>
    <n v="7.919999999999999"/>
  </r>
  <r>
    <x v="0"/>
    <x v="3"/>
    <x v="0"/>
    <s v="Medium"/>
    <n v="521"/>
    <n v="3"/>
    <n v="7"/>
    <x v="186"/>
    <n v="328.23"/>
    <n v="3318.77"/>
    <n v="2605"/>
    <n v="713.77"/>
    <d v="2014-12-01T00:00:00"/>
    <x v="2"/>
    <x v="2"/>
    <s v="2014"/>
    <n v="1.3699999999999999"/>
  </r>
  <r>
    <x v="0"/>
    <x v="4"/>
    <x v="2"/>
    <s v="Medium"/>
    <n v="973"/>
    <n v="10"/>
    <n v="20"/>
    <x v="187"/>
    <n v="1751.4"/>
    <n v="17708.599999999999"/>
    <n v="9730"/>
    <n v="7978.5999999999985"/>
    <d v="2014-03-01T00:00:00"/>
    <x v="3"/>
    <x v="3"/>
    <s v="2014"/>
    <n v="8.1999999999999993"/>
  </r>
  <r>
    <x v="0"/>
    <x v="3"/>
    <x v="2"/>
    <s v="Medium"/>
    <n v="1038"/>
    <n v="10"/>
    <n v="20"/>
    <x v="188"/>
    <n v="1868.4"/>
    <n v="18891.599999999999"/>
    <n v="10380"/>
    <n v="8511.5999999999985"/>
    <d v="2014-06-01T00:00:00"/>
    <x v="1"/>
    <x v="1"/>
    <s v="2014"/>
    <n v="8.1999999999999993"/>
  </r>
  <r>
    <x v="0"/>
    <x v="1"/>
    <x v="2"/>
    <s v="Medium"/>
    <n v="360"/>
    <n v="10"/>
    <n v="7"/>
    <x v="189"/>
    <n v="226.8"/>
    <n v="2293.1999999999998"/>
    <n v="1800"/>
    <n v="493.19999999999982"/>
    <d v="2014-10-01T00:00:00"/>
    <x v="8"/>
    <x v="8"/>
    <s v="2014"/>
    <n v="1.3699999999999994"/>
  </r>
  <r>
    <x v="0"/>
    <x v="3"/>
    <x v="3"/>
    <s v="Medium"/>
    <n v="1038"/>
    <n v="260"/>
    <n v="20"/>
    <x v="188"/>
    <n v="1868.4"/>
    <n v="18891.599999999999"/>
    <n v="10380"/>
    <n v="8511.5999999999985"/>
    <d v="2014-06-01T00:00:00"/>
    <x v="1"/>
    <x v="1"/>
    <s v="2014"/>
    <n v="8.1999999999999993"/>
  </r>
  <r>
    <x v="1"/>
    <x v="0"/>
    <x v="3"/>
    <s v="Medium"/>
    <n v="1630.5"/>
    <n v="260"/>
    <n v="15"/>
    <x v="190"/>
    <n v="2201.1750000000002"/>
    <n v="22256.324999999997"/>
    <n v="16305"/>
    <n v="5951.3249999999989"/>
    <d v="2014-07-01T00:00:00"/>
    <x v="4"/>
    <x v="4"/>
    <s v="2014"/>
    <n v="3.6499999999999995"/>
  </r>
  <r>
    <x v="0"/>
    <x v="4"/>
    <x v="1"/>
    <s v="High"/>
    <n v="2328"/>
    <n v="5"/>
    <n v="7"/>
    <x v="191"/>
    <n v="1629.6"/>
    <n v="14666.4"/>
    <n v="11640"/>
    <n v="3026.3999999999996"/>
    <d v="2014-09-01T00:00:00"/>
    <x v="6"/>
    <x v="6"/>
    <s v="2014"/>
    <n v="1.2999999999999998"/>
  </r>
  <r>
    <x v="0"/>
    <x v="4"/>
    <x v="1"/>
    <s v="High"/>
    <n v="2313"/>
    <n v="5"/>
    <n v="350"/>
    <x v="192"/>
    <n v="80955"/>
    <n v="728595"/>
    <n v="601380"/>
    <n v="127215"/>
    <d v="2014-05-01T00:00:00"/>
    <x v="10"/>
    <x v="10"/>
    <s v="2014"/>
    <n v="55"/>
  </r>
  <r>
    <x v="1"/>
    <x v="2"/>
    <x v="1"/>
    <s v="High"/>
    <n v="2072"/>
    <n v="5"/>
    <n v="15"/>
    <x v="193"/>
    <n v="3108"/>
    <n v="27972"/>
    <n v="20720"/>
    <n v="7252"/>
    <d v="2014-12-01T00:00:00"/>
    <x v="2"/>
    <x v="2"/>
    <s v="2014"/>
    <n v="3.5"/>
  </r>
  <r>
    <x v="0"/>
    <x v="2"/>
    <x v="2"/>
    <s v="High"/>
    <n v="1954"/>
    <n v="10"/>
    <n v="20"/>
    <x v="194"/>
    <n v="3908"/>
    <n v="35172"/>
    <n v="19540"/>
    <n v="15632"/>
    <d v="2014-03-01T00:00:00"/>
    <x v="3"/>
    <x v="3"/>
    <s v="2014"/>
    <n v="8"/>
  </r>
  <r>
    <x v="4"/>
    <x v="3"/>
    <x v="2"/>
    <s v="High"/>
    <n v="591"/>
    <n v="10"/>
    <n v="300"/>
    <x v="195"/>
    <n v="17730"/>
    <n v="159570"/>
    <n v="147750"/>
    <n v="11820"/>
    <d v="2014-05-01T00:00:00"/>
    <x v="10"/>
    <x v="10"/>
    <s v="2014"/>
    <n v="20"/>
  </r>
  <r>
    <x v="0"/>
    <x v="1"/>
    <x v="2"/>
    <s v="High"/>
    <n v="241"/>
    <n v="10"/>
    <n v="20"/>
    <x v="196"/>
    <n v="482"/>
    <n v="4338"/>
    <n v="2410"/>
    <n v="1928"/>
    <d v="2014-10-01T00:00:00"/>
    <x v="8"/>
    <x v="8"/>
    <s v="2014"/>
    <n v="8"/>
  </r>
  <r>
    <x v="0"/>
    <x v="0"/>
    <x v="3"/>
    <s v="High"/>
    <n v="2240"/>
    <n v="260"/>
    <n v="350"/>
    <x v="197"/>
    <n v="78400"/>
    <n v="705600"/>
    <n v="582400"/>
    <n v="123200"/>
    <d v="2014-02-01T00:00:00"/>
    <x v="7"/>
    <x v="7"/>
    <s v="2014"/>
    <n v="55"/>
  </r>
  <r>
    <x v="4"/>
    <x v="4"/>
    <x v="3"/>
    <s v="High"/>
    <n v="2993"/>
    <n v="260"/>
    <n v="300"/>
    <x v="198"/>
    <n v="89790"/>
    <n v="808110"/>
    <n v="748250"/>
    <n v="59860"/>
    <d v="2014-03-01T00:00:00"/>
    <x v="3"/>
    <x v="3"/>
    <s v="2014"/>
    <n v="20"/>
  </r>
  <r>
    <x v="2"/>
    <x v="0"/>
    <x v="3"/>
    <s v="High"/>
    <n v="3520.5"/>
    <n v="260"/>
    <n v="12"/>
    <x v="199"/>
    <n v="4224.6000000000004"/>
    <n v="38021.399999999994"/>
    <n v="10561.5"/>
    <n v="27459.899999999998"/>
    <d v="2014-04-01T00:00:00"/>
    <x v="9"/>
    <x v="9"/>
    <s v="2014"/>
    <n v="7.8"/>
  </r>
  <r>
    <x v="0"/>
    <x v="3"/>
    <x v="3"/>
    <s v="High"/>
    <n v="2039"/>
    <n v="260"/>
    <n v="20"/>
    <x v="200"/>
    <n v="4078"/>
    <n v="36702"/>
    <n v="20390"/>
    <n v="16312"/>
    <d v="2014-05-01T00:00:00"/>
    <x v="10"/>
    <x v="10"/>
    <s v="2014"/>
    <n v="8"/>
  </r>
  <r>
    <x v="2"/>
    <x v="1"/>
    <x v="3"/>
    <s v="High"/>
    <n v="2574"/>
    <n v="260"/>
    <n v="12"/>
    <x v="201"/>
    <n v="3088.8"/>
    <n v="27799.200000000001"/>
    <n v="7722"/>
    <n v="20077.2"/>
    <d v="2014-08-01T00:00:00"/>
    <x v="5"/>
    <x v="5"/>
    <s v="2014"/>
    <n v="7.8000000000000007"/>
  </r>
  <r>
    <x v="0"/>
    <x v="0"/>
    <x v="3"/>
    <s v="High"/>
    <n v="707"/>
    <n v="260"/>
    <n v="350"/>
    <x v="202"/>
    <n v="24745"/>
    <n v="222705"/>
    <n v="183820"/>
    <n v="38885"/>
    <d v="2014-09-01T00:00:00"/>
    <x v="6"/>
    <x v="6"/>
    <s v="2014"/>
    <n v="55"/>
  </r>
  <r>
    <x v="1"/>
    <x v="2"/>
    <x v="3"/>
    <s v="High"/>
    <n v="2072"/>
    <n v="260"/>
    <n v="15"/>
    <x v="193"/>
    <n v="3108"/>
    <n v="27972"/>
    <n v="20720"/>
    <n v="7252"/>
    <d v="2014-12-01T00:00:00"/>
    <x v="2"/>
    <x v="2"/>
    <s v="2014"/>
    <n v="3.5"/>
  </r>
  <r>
    <x v="4"/>
    <x v="2"/>
    <x v="3"/>
    <s v="High"/>
    <n v="853"/>
    <n v="260"/>
    <n v="300"/>
    <x v="203"/>
    <n v="25590"/>
    <n v="230310"/>
    <n v="213250"/>
    <n v="17060"/>
    <d v="2014-12-01T00:00:00"/>
    <x v="2"/>
    <x v="2"/>
    <s v="2014"/>
    <n v="20"/>
  </r>
  <r>
    <x v="0"/>
    <x v="2"/>
    <x v="2"/>
    <s v="High"/>
    <n v="2532"/>
    <n v="10"/>
    <n v="7"/>
    <x v="204"/>
    <n v="1949.6399999999999"/>
    <n v="15774.36"/>
    <n v="12660"/>
    <n v="3114.3599999999997"/>
    <d v="2014-04-01T00:00:00"/>
    <x v="9"/>
    <x v="9"/>
    <s v="2014"/>
    <n v="1.2299999999999998"/>
  </r>
  <r>
    <x v="1"/>
    <x v="4"/>
    <x v="3"/>
    <s v="High"/>
    <n v="3199.5"/>
    <n v="260"/>
    <n v="15"/>
    <x v="205"/>
    <n v="5279.1749999999993"/>
    <n v="42713.324999999997"/>
    <n v="31995"/>
    <n v="10718.324999999999"/>
    <d v="2014-07-01T00:00:00"/>
    <x v="4"/>
    <x v="4"/>
    <s v="2014"/>
    <n v="3.3499999999999996"/>
  </r>
  <r>
    <x v="2"/>
    <x v="1"/>
    <x v="3"/>
    <s v="High"/>
    <n v="472"/>
    <n v="260"/>
    <n v="12"/>
    <x v="206"/>
    <n v="623.04"/>
    <n v="5040.96"/>
    <n v="1416"/>
    <n v="3624.96"/>
    <d v="2014-10-01T00:00:00"/>
    <x v="8"/>
    <x v="8"/>
    <s v="2014"/>
    <n v="7.68"/>
  </r>
  <r>
    <x v="2"/>
    <x v="0"/>
    <x v="0"/>
    <s v="High"/>
    <n v="1937"/>
    <n v="3"/>
    <n v="12"/>
    <x v="207"/>
    <n v="2556.84"/>
    <n v="20687.16"/>
    <n v="5811"/>
    <n v="14876.16"/>
    <d v="2014-02-01T00:00:00"/>
    <x v="7"/>
    <x v="7"/>
    <s v="2014"/>
    <n v="7.68"/>
  </r>
  <r>
    <x v="0"/>
    <x v="1"/>
    <x v="0"/>
    <s v="High"/>
    <n v="792"/>
    <n v="3"/>
    <n v="350"/>
    <x v="208"/>
    <n v="30492"/>
    <n v="246708"/>
    <n v="205920"/>
    <n v="40788"/>
    <d v="2014-03-01T00:00:00"/>
    <x v="3"/>
    <x v="3"/>
    <s v="2014"/>
    <n v="51.5"/>
  </r>
  <r>
    <x v="4"/>
    <x v="1"/>
    <x v="0"/>
    <s v="High"/>
    <n v="2811"/>
    <n v="3"/>
    <n v="300"/>
    <x v="209"/>
    <n v="92763"/>
    <n v="750537"/>
    <n v="702750"/>
    <n v="47787"/>
    <d v="2014-07-01T00:00:00"/>
    <x v="4"/>
    <x v="4"/>
    <s v="2014"/>
    <n v="17"/>
  </r>
  <r>
    <x v="0"/>
    <x v="1"/>
    <x v="1"/>
    <s v="High"/>
    <n v="766"/>
    <n v="5"/>
    <n v="350"/>
    <x v="210"/>
    <n v="29491"/>
    <n v="238609"/>
    <n v="199160"/>
    <n v="39449"/>
    <d v="2014-01-01T00:00:00"/>
    <x v="0"/>
    <x v="0"/>
    <s v="2014"/>
    <n v="51.5"/>
  </r>
  <r>
    <x v="1"/>
    <x v="3"/>
    <x v="1"/>
    <s v="High"/>
    <n v="2157"/>
    <n v="5"/>
    <n v="15"/>
    <x v="211"/>
    <n v="3559.05"/>
    <n v="28795.95"/>
    <n v="21570"/>
    <n v="7225.9500000000007"/>
    <d v="2014-12-01T00:00:00"/>
    <x v="2"/>
    <x v="2"/>
    <s v="2014"/>
    <n v="3.3500000000000005"/>
  </r>
  <r>
    <x v="4"/>
    <x v="0"/>
    <x v="2"/>
    <s v="High"/>
    <n v="873"/>
    <n v="10"/>
    <n v="300"/>
    <x v="212"/>
    <n v="28809"/>
    <n v="233091"/>
    <n v="218250"/>
    <n v="14841"/>
    <d v="2014-01-01T00:00:00"/>
    <x v="0"/>
    <x v="0"/>
    <s v="2014"/>
    <n v="17"/>
  </r>
  <r>
    <x v="0"/>
    <x v="3"/>
    <x v="2"/>
    <s v="High"/>
    <n v="1122"/>
    <n v="10"/>
    <n v="20"/>
    <x v="213"/>
    <n v="2468.4"/>
    <n v="19971.599999999999"/>
    <n v="11220"/>
    <n v="8751.5999999999985"/>
    <d v="2014-03-01T00:00:00"/>
    <x v="3"/>
    <x v="3"/>
    <s v="2014"/>
    <n v="7.7999999999999989"/>
  </r>
  <r>
    <x v="0"/>
    <x v="0"/>
    <x v="2"/>
    <s v="High"/>
    <n v="2104.5"/>
    <n v="10"/>
    <n v="350"/>
    <x v="214"/>
    <n v="81023.25"/>
    <n v="655551.75"/>
    <n v="547170"/>
    <n v="108381.75"/>
    <d v="2014-07-01T00:00:00"/>
    <x v="4"/>
    <x v="4"/>
    <s v="2014"/>
    <n v="51.5"/>
  </r>
  <r>
    <x v="2"/>
    <x v="0"/>
    <x v="2"/>
    <s v="High"/>
    <n v="4026"/>
    <n v="10"/>
    <n v="12"/>
    <x v="215"/>
    <n v="5314.32"/>
    <n v="42997.68"/>
    <n v="12078"/>
    <n v="30919.68"/>
    <d v="2014-07-01T00:00:00"/>
    <x v="4"/>
    <x v="4"/>
    <s v="2014"/>
    <n v="7.68"/>
  </r>
  <r>
    <x v="2"/>
    <x v="2"/>
    <x v="2"/>
    <s v="High"/>
    <n v="2425.5"/>
    <n v="10"/>
    <n v="12"/>
    <x v="216"/>
    <n v="3201.66"/>
    <n v="25904.340000000004"/>
    <n v="7276.5"/>
    <n v="18627.840000000004"/>
    <d v="2014-07-01T00:00:00"/>
    <x v="4"/>
    <x v="4"/>
    <s v="2014"/>
    <n v="7.6800000000000015"/>
  </r>
  <r>
    <x v="0"/>
    <x v="0"/>
    <x v="2"/>
    <s v="High"/>
    <n v="2394"/>
    <n v="10"/>
    <n v="20"/>
    <x v="217"/>
    <n v="5266.8"/>
    <n v="42613.2"/>
    <n v="23940"/>
    <n v="18673.199999999997"/>
    <d v="2014-08-01T00:00:00"/>
    <x v="5"/>
    <x v="5"/>
    <s v="2014"/>
    <n v="7.7999999999999989"/>
  </r>
  <r>
    <x v="1"/>
    <x v="3"/>
    <x v="2"/>
    <s v="High"/>
    <n v="1984"/>
    <n v="10"/>
    <n v="15"/>
    <x v="218"/>
    <n v="3273.6"/>
    <n v="26486.400000000001"/>
    <n v="19840"/>
    <n v="6646.4000000000015"/>
    <d v="2014-08-01T00:00:00"/>
    <x v="5"/>
    <x v="5"/>
    <s v="2014"/>
    <n v="3.3500000000000005"/>
  </r>
  <r>
    <x v="4"/>
    <x v="0"/>
    <x v="2"/>
    <s v="High"/>
    <n v="1366"/>
    <n v="10"/>
    <n v="300"/>
    <x v="219"/>
    <n v="45078"/>
    <n v="364722"/>
    <n v="341500"/>
    <n v="23222"/>
    <d v="2014-11-01T00:00:00"/>
    <x v="11"/>
    <x v="11"/>
    <s v="2014"/>
    <n v="17"/>
  </r>
  <r>
    <x v="0"/>
    <x v="3"/>
    <x v="3"/>
    <s v="High"/>
    <n v="2629"/>
    <n v="260"/>
    <n v="20"/>
    <x v="220"/>
    <n v="5783.8"/>
    <n v="46796.2"/>
    <n v="26290"/>
    <n v="20506.199999999997"/>
    <d v="2014-01-01T00:00:00"/>
    <x v="0"/>
    <x v="0"/>
    <s v="2014"/>
    <n v="7.7999999999999989"/>
  </r>
  <r>
    <x v="1"/>
    <x v="3"/>
    <x v="3"/>
    <s v="High"/>
    <n v="2157"/>
    <n v="260"/>
    <n v="15"/>
    <x v="211"/>
    <n v="3559.05"/>
    <n v="28795.95"/>
    <n v="21570"/>
    <n v="7225.9500000000007"/>
    <d v="2014-12-01T00:00:00"/>
    <x v="2"/>
    <x v="2"/>
    <s v="2014"/>
    <n v="3.3500000000000005"/>
  </r>
  <r>
    <x v="0"/>
    <x v="3"/>
    <x v="0"/>
    <s v="High"/>
    <n v="886"/>
    <n v="3"/>
    <n v="350"/>
    <x v="221"/>
    <n v="37212"/>
    <n v="272888"/>
    <n v="230360"/>
    <n v="42528"/>
    <d v="2014-06-01T00:00:00"/>
    <x v="1"/>
    <x v="1"/>
    <s v="2014"/>
    <n v="48"/>
  </r>
  <r>
    <x v="1"/>
    <x v="0"/>
    <x v="0"/>
    <s v="High"/>
    <n v="2689"/>
    <n v="3"/>
    <n v="15"/>
    <x v="222"/>
    <n v="4840.2"/>
    <n v="35494.800000000003"/>
    <n v="26890"/>
    <n v="8604.8000000000029"/>
    <d v="2014-11-01T00:00:00"/>
    <x v="11"/>
    <x v="11"/>
    <s v="2014"/>
    <n v="3.2000000000000011"/>
  </r>
  <r>
    <x v="1"/>
    <x v="4"/>
    <x v="1"/>
    <s v="High"/>
    <n v="677"/>
    <n v="5"/>
    <n v="15"/>
    <x v="223"/>
    <n v="1218.5999999999999"/>
    <n v="8936.4"/>
    <n v="6770"/>
    <n v="2166.3999999999996"/>
    <d v="2014-03-01T00:00:00"/>
    <x v="3"/>
    <x v="3"/>
    <s v="2014"/>
    <n v="3.1999999999999993"/>
  </r>
  <r>
    <x v="4"/>
    <x v="2"/>
    <x v="1"/>
    <s v="High"/>
    <n v="1773"/>
    <n v="5"/>
    <n v="300"/>
    <x v="224"/>
    <n v="63828"/>
    <n v="468072"/>
    <n v="443250"/>
    <n v="24822"/>
    <d v="2014-04-01T00:00:00"/>
    <x v="9"/>
    <x v="9"/>
    <s v="2014"/>
    <n v="14"/>
  </r>
  <r>
    <x v="0"/>
    <x v="3"/>
    <x v="1"/>
    <s v="High"/>
    <n v="2420"/>
    <n v="5"/>
    <n v="7"/>
    <x v="225"/>
    <n v="2032.8"/>
    <n v="14907.2"/>
    <n v="12100"/>
    <n v="2807.2000000000007"/>
    <d v="2014-09-01T00:00:00"/>
    <x v="6"/>
    <x v="6"/>
    <s v="2014"/>
    <n v="1.1600000000000004"/>
  </r>
  <r>
    <x v="0"/>
    <x v="0"/>
    <x v="1"/>
    <s v="High"/>
    <n v="2734"/>
    <n v="5"/>
    <n v="7"/>
    <x v="226"/>
    <n v="2296.56"/>
    <n v="16841.439999999999"/>
    <n v="13670"/>
    <n v="3171.4399999999987"/>
    <d v="2014-10-01T00:00:00"/>
    <x v="8"/>
    <x v="8"/>
    <s v="2014"/>
    <n v="1.1599999999999995"/>
  </r>
  <r>
    <x v="4"/>
    <x v="4"/>
    <x v="2"/>
    <s v="High"/>
    <n v="3495"/>
    <n v="10"/>
    <n v="300"/>
    <x v="227"/>
    <n v="125820"/>
    <n v="922680"/>
    <n v="873750"/>
    <n v="48930"/>
    <d v="2014-01-01T00:00:00"/>
    <x v="0"/>
    <x v="0"/>
    <s v="2014"/>
    <n v="14"/>
  </r>
  <r>
    <x v="0"/>
    <x v="3"/>
    <x v="2"/>
    <s v="High"/>
    <n v="886"/>
    <n v="10"/>
    <n v="350"/>
    <x v="221"/>
    <n v="37212"/>
    <n v="272888"/>
    <n v="230360"/>
    <n v="42528"/>
    <d v="2014-06-01T00:00:00"/>
    <x v="1"/>
    <x v="1"/>
    <s v="2014"/>
    <n v="48"/>
  </r>
  <r>
    <x v="0"/>
    <x v="3"/>
    <x v="2"/>
    <s v="High"/>
    <n v="905"/>
    <n v="10"/>
    <n v="20"/>
    <x v="228"/>
    <n v="2172"/>
    <n v="15928"/>
    <n v="9050"/>
    <n v="6878"/>
    <d v="2014-10-01T00:00:00"/>
    <x v="8"/>
    <x v="8"/>
    <s v="2014"/>
    <n v="7.6"/>
  </r>
  <r>
    <x v="0"/>
    <x v="2"/>
    <x v="2"/>
    <s v="High"/>
    <n v="1594"/>
    <n v="10"/>
    <n v="350"/>
    <x v="229"/>
    <n v="66948"/>
    <n v="490952"/>
    <n v="414440"/>
    <n v="76512"/>
    <d v="2014-11-01T00:00:00"/>
    <x v="11"/>
    <x v="11"/>
    <s v="2014"/>
    <n v="48"/>
  </r>
  <r>
    <x v="4"/>
    <x v="1"/>
    <x v="2"/>
    <s v="High"/>
    <n v="1359"/>
    <n v="10"/>
    <n v="300"/>
    <x v="230"/>
    <n v="48924"/>
    <n v="358776"/>
    <n v="339750"/>
    <n v="19026"/>
    <d v="2014-11-01T00:00:00"/>
    <x v="11"/>
    <x v="11"/>
    <s v="2014"/>
    <n v="14"/>
  </r>
  <r>
    <x v="4"/>
    <x v="3"/>
    <x v="2"/>
    <s v="High"/>
    <n v="2150"/>
    <n v="10"/>
    <n v="300"/>
    <x v="231"/>
    <n v="77400"/>
    <n v="567600"/>
    <n v="537500"/>
    <n v="30100"/>
    <d v="2014-11-01T00:00:00"/>
    <x v="11"/>
    <x v="11"/>
    <s v="2014"/>
    <n v="14"/>
  </r>
  <r>
    <x v="0"/>
    <x v="3"/>
    <x v="2"/>
    <s v="High"/>
    <n v="1197"/>
    <n v="10"/>
    <n v="350"/>
    <x v="232"/>
    <n v="50274"/>
    <n v="368676"/>
    <n v="311220"/>
    <n v="57456"/>
    <d v="2014-11-01T00:00:00"/>
    <x v="11"/>
    <x v="11"/>
    <s v="2014"/>
    <n v="48"/>
  </r>
  <r>
    <x v="0"/>
    <x v="3"/>
    <x v="2"/>
    <s v="High"/>
    <n v="1233"/>
    <n v="10"/>
    <n v="20"/>
    <x v="233"/>
    <n v="2959.2"/>
    <n v="21700.799999999999"/>
    <n v="12330"/>
    <n v="9370.7999999999993"/>
    <d v="2014-12-01T00:00:00"/>
    <x v="2"/>
    <x v="2"/>
    <s v="2014"/>
    <n v="7.6"/>
  </r>
  <r>
    <x v="0"/>
    <x v="4"/>
    <x v="3"/>
    <s v="High"/>
    <n v="270"/>
    <n v="260"/>
    <n v="350"/>
    <x v="234"/>
    <n v="11340"/>
    <n v="83160"/>
    <n v="70200"/>
    <n v="12960"/>
    <d v="2014-02-01T00:00:00"/>
    <x v="7"/>
    <x v="7"/>
    <s v="2014"/>
    <n v="48"/>
  </r>
  <r>
    <x v="0"/>
    <x v="2"/>
    <x v="3"/>
    <s v="High"/>
    <n v="3421.5"/>
    <n v="260"/>
    <n v="7"/>
    <x v="235"/>
    <n v="2874.06"/>
    <n v="21076.44"/>
    <n v="17107.5"/>
    <n v="3968.9399999999987"/>
    <d v="2014-07-01T00:00:00"/>
    <x v="4"/>
    <x v="4"/>
    <s v="2014"/>
    <n v="1.1599999999999997"/>
  </r>
  <r>
    <x v="0"/>
    <x v="0"/>
    <x v="3"/>
    <s v="High"/>
    <n v="2734"/>
    <n v="260"/>
    <n v="7"/>
    <x v="226"/>
    <n v="2296.56"/>
    <n v="16841.439999999999"/>
    <n v="13670"/>
    <n v="3171.4399999999987"/>
    <d v="2014-10-01T00:00:00"/>
    <x v="8"/>
    <x v="8"/>
    <s v="2014"/>
    <n v="1.1599999999999995"/>
  </r>
  <r>
    <x v="0"/>
    <x v="2"/>
    <x v="0"/>
    <s v="High"/>
    <n v="2521.5"/>
    <n v="3"/>
    <n v="20"/>
    <x v="236"/>
    <n v="6051.6"/>
    <n v="44378.399999999994"/>
    <n v="25215"/>
    <n v="19163.399999999998"/>
    <d v="2014-01-01T00:00:00"/>
    <x v="0"/>
    <x v="0"/>
    <s v="2014"/>
    <n v="7.5999999999999988"/>
  </r>
  <r>
    <x v="2"/>
    <x v="3"/>
    <x v="1"/>
    <s v="High"/>
    <n v="2661"/>
    <n v="5"/>
    <n v="12"/>
    <x v="237"/>
    <n v="3831.84"/>
    <n v="28100.16"/>
    <n v="7983"/>
    <n v="20117.16"/>
    <d v="2014-05-01T00:00:00"/>
    <x v="10"/>
    <x v="10"/>
    <s v="2014"/>
    <n v="7.56"/>
  </r>
  <r>
    <x v="0"/>
    <x v="1"/>
    <x v="2"/>
    <s v="High"/>
    <n v="1531"/>
    <n v="10"/>
    <n v="20"/>
    <x v="238"/>
    <n v="3674.4"/>
    <n v="26945.599999999999"/>
    <n v="15310"/>
    <n v="11635.599999999999"/>
    <d v="2014-12-01T00:00:00"/>
    <x v="2"/>
    <x v="2"/>
    <s v="2014"/>
    <n v="7.5999999999999988"/>
  </r>
  <r>
    <x v="1"/>
    <x v="4"/>
    <x v="0"/>
    <s v="High"/>
    <n v="2567"/>
    <n v="3"/>
    <n v="15"/>
    <x v="239"/>
    <n v="5005.6499999999996"/>
    <n v="33499.35"/>
    <n v="25670"/>
    <n v="7829.3499999999985"/>
    <d v="2014-06-01T00:00:00"/>
    <x v="1"/>
    <x v="1"/>
    <s v="2014"/>
    <n v="3.0499999999999994"/>
  </r>
  <r>
    <x v="0"/>
    <x v="0"/>
    <x v="0"/>
    <s v="High"/>
    <n v="923"/>
    <n v="3"/>
    <n v="350"/>
    <x v="240"/>
    <n v="41996.5"/>
    <n v="281053.5"/>
    <n v="239980"/>
    <n v="41073.5"/>
    <d v="2014-03-01T00:00:00"/>
    <x v="3"/>
    <x v="3"/>
    <s v="2014"/>
    <n v="44.5"/>
  </r>
  <r>
    <x v="0"/>
    <x v="2"/>
    <x v="0"/>
    <s v="High"/>
    <n v="1790"/>
    <n v="3"/>
    <n v="350"/>
    <x v="241"/>
    <n v="81445"/>
    <n v="545055"/>
    <n v="465400"/>
    <n v="79655"/>
    <d v="2014-03-01T00:00:00"/>
    <x v="3"/>
    <x v="3"/>
    <s v="2014"/>
    <n v="44.5"/>
  </r>
  <r>
    <x v="0"/>
    <x v="4"/>
    <x v="1"/>
    <s v="High"/>
    <n v="982.5"/>
    <n v="5"/>
    <n v="350"/>
    <x v="242"/>
    <n v="44703.75"/>
    <n v="299171.25"/>
    <n v="255450"/>
    <n v="43721.25"/>
    <d v="2014-01-01T00:00:00"/>
    <x v="0"/>
    <x v="0"/>
    <s v="2014"/>
    <n v="44.5"/>
  </r>
  <r>
    <x v="0"/>
    <x v="4"/>
    <x v="1"/>
    <s v="High"/>
    <n v="1298"/>
    <n v="5"/>
    <n v="7"/>
    <x v="243"/>
    <n v="1181.18"/>
    <n v="7904.82"/>
    <n v="6490"/>
    <n v="1414.8199999999997"/>
    <d v="2014-02-01T00:00:00"/>
    <x v="7"/>
    <x v="7"/>
    <s v="2014"/>
    <n v="1.0899999999999999"/>
  </r>
  <r>
    <x v="2"/>
    <x v="3"/>
    <x v="1"/>
    <s v="High"/>
    <n v="604"/>
    <n v="5"/>
    <n v="12"/>
    <x v="244"/>
    <n v="942.24"/>
    <n v="6305.76"/>
    <n v="1812"/>
    <n v="4493.76"/>
    <d v="2014-06-01T00:00:00"/>
    <x v="1"/>
    <x v="1"/>
    <s v="2014"/>
    <n v="7.44"/>
  </r>
  <r>
    <x v="0"/>
    <x v="3"/>
    <x v="1"/>
    <s v="High"/>
    <n v="2255"/>
    <n v="5"/>
    <n v="20"/>
    <x v="245"/>
    <n v="5863"/>
    <n v="39237"/>
    <n v="22550"/>
    <n v="16687"/>
    <d v="2014-07-01T00:00:00"/>
    <x v="4"/>
    <x v="4"/>
    <s v="2014"/>
    <n v="7.4"/>
  </r>
  <r>
    <x v="0"/>
    <x v="0"/>
    <x v="1"/>
    <s v="High"/>
    <n v="1249"/>
    <n v="5"/>
    <n v="20"/>
    <x v="246"/>
    <n v="3247.4"/>
    <n v="21732.6"/>
    <n v="12490"/>
    <n v="9242.5999999999985"/>
    <d v="2014-10-01T00:00:00"/>
    <x v="8"/>
    <x v="8"/>
    <s v="2014"/>
    <n v="7.3999999999999986"/>
  </r>
  <r>
    <x v="0"/>
    <x v="4"/>
    <x v="2"/>
    <s v="High"/>
    <n v="1438.5"/>
    <n v="10"/>
    <n v="7"/>
    <x v="247"/>
    <n v="1309.0350000000001"/>
    <n v="8760.4650000000001"/>
    <n v="7192.5"/>
    <n v="1567.9649999999992"/>
    <d v="2014-01-01T00:00:00"/>
    <x v="0"/>
    <x v="0"/>
    <s v="2014"/>
    <n v="1.0899999999999994"/>
  </r>
  <r>
    <x v="4"/>
    <x v="1"/>
    <x v="2"/>
    <s v="High"/>
    <n v="807"/>
    <n v="10"/>
    <n v="300"/>
    <x v="248"/>
    <n v="31473"/>
    <n v="210627"/>
    <n v="201750"/>
    <n v="8877"/>
    <d v="2014-01-01T00:00:00"/>
    <x v="0"/>
    <x v="0"/>
    <s v="2014"/>
    <n v="11"/>
  </r>
  <r>
    <x v="0"/>
    <x v="4"/>
    <x v="2"/>
    <s v="High"/>
    <n v="2641"/>
    <n v="10"/>
    <n v="20"/>
    <x v="249"/>
    <n v="6866.6"/>
    <n v="45953.4"/>
    <n v="26410"/>
    <n v="19543.400000000001"/>
    <d v="2014-02-01T00:00:00"/>
    <x v="7"/>
    <x v="7"/>
    <s v="2014"/>
    <n v="7.4"/>
  </r>
  <r>
    <x v="0"/>
    <x v="1"/>
    <x v="2"/>
    <s v="High"/>
    <n v="2708"/>
    <n v="10"/>
    <n v="20"/>
    <x v="250"/>
    <n v="7040.8"/>
    <n v="47119.199999999997"/>
    <n v="27080"/>
    <n v="20039.199999999997"/>
    <d v="2014-02-01T00:00:00"/>
    <x v="7"/>
    <x v="7"/>
    <s v="2014"/>
    <n v="7.3999999999999986"/>
  </r>
  <r>
    <x v="0"/>
    <x v="0"/>
    <x v="2"/>
    <s v="High"/>
    <n v="2632"/>
    <n v="10"/>
    <n v="350"/>
    <x v="251"/>
    <n v="119756"/>
    <n v="801444"/>
    <n v="684320"/>
    <n v="117124"/>
    <d v="2014-06-01T00:00:00"/>
    <x v="1"/>
    <x v="1"/>
    <s v="2014"/>
    <n v="44.5"/>
  </r>
  <r>
    <x v="2"/>
    <x v="3"/>
    <x v="2"/>
    <s v="High"/>
    <n v="571"/>
    <n v="10"/>
    <n v="12"/>
    <x v="252"/>
    <n v="890.76"/>
    <n v="5961.24"/>
    <n v="1713"/>
    <n v="4248.24"/>
    <d v="2014-07-01T00:00:00"/>
    <x v="4"/>
    <x v="4"/>
    <s v="2014"/>
    <n v="7.4399999999999995"/>
  </r>
  <r>
    <x v="0"/>
    <x v="2"/>
    <x v="2"/>
    <s v="High"/>
    <n v="2696"/>
    <n v="10"/>
    <n v="7"/>
    <x v="253"/>
    <n v="2453.36"/>
    <n v="16418.64"/>
    <n v="13480"/>
    <n v="2938.6399999999994"/>
    <d v="2014-08-01T00:00:00"/>
    <x v="5"/>
    <x v="5"/>
    <s v="2014"/>
    <n v="1.0899999999999999"/>
  </r>
  <r>
    <x v="1"/>
    <x v="0"/>
    <x v="2"/>
    <s v="High"/>
    <n v="1565"/>
    <n v="10"/>
    <n v="15"/>
    <x v="254"/>
    <n v="3051.75"/>
    <n v="20423.25"/>
    <n v="15650"/>
    <n v="4773.25"/>
    <d v="2014-10-01T00:00:00"/>
    <x v="8"/>
    <x v="8"/>
    <s v="2014"/>
    <n v="3.05"/>
  </r>
  <r>
    <x v="0"/>
    <x v="0"/>
    <x v="2"/>
    <s v="High"/>
    <n v="1249"/>
    <n v="10"/>
    <n v="20"/>
    <x v="246"/>
    <n v="3247.4"/>
    <n v="21732.6"/>
    <n v="12490"/>
    <n v="9242.5999999999985"/>
    <d v="2014-10-01T00:00:00"/>
    <x v="8"/>
    <x v="8"/>
    <s v="2014"/>
    <n v="7.3999999999999986"/>
  </r>
  <r>
    <x v="0"/>
    <x v="1"/>
    <x v="2"/>
    <s v="High"/>
    <n v="357"/>
    <n v="10"/>
    <n v="350"/>
    <x v="255"/>
    <n v="16243.5"/>
    <n v="108706.5"/>
    <n v="92820"/>
    <n v="15886.5"/>
    <d v="2014-11-01T00:00:00"/>
    <x v="11"/>
    <x v="11"/>
    <s v="2014"/>
    <n v="44.5"/>
  </r>
  <r>
    <x v="2"/>
    <x v="1"/>
    <x v="2"/>
    <s v="High"/>
    <n v="1013"/>
    <n v="10"/>
    <n v="12"/>
    <x v="256"/>
    <n v="1580.28"/>
    <n v="10575.72"/>
    <n v="3039"/>
    <n v="7536.7199999999993"/>
    <d v="2014-12-01T00:00:00"/>
    <x v="2"/>
    <x v="2"/>
    <s v="2014"/>
    <n v="7.4399999999999995"/>
  </r>
  <r>
    <x v="0"/>
    <x v="2"/>
    <x v="3"/>
    <s v="High"/>
    <n v="1190"/>
    <n v="260"/>
    <n v="7"/>
    <x v="257"/>
    <n v="1082.9000000000001"/>
    <n v="7247.1"/>
    <n v="5950"/>
    <n v="1297.1000000000004"/>
    <d v="2014-06-01T00:00:00"/>
    <x v="1"/>
    <x v="1"/>
    <s v="2014"/>
    <n v="1.0900000000000003"/>
  </r>
  <r>
    <x v="2"/>
    <x v="3"/>
    <x v="3"/>
    <s v="High"/>
    <n v="410"/>
    <n v="260"/>
    <n v="12"/>
    <x v="258"/>
    <n v="639.6"/>
    <n v="4280.3999999999996"/>
    <n v="1230"/>
    <n v="3050.3999999999996"/>
    <d v="2014-10-01T00:00:00"/>
    <x v="8"/>
    <x v="8"/>
    <s v="2014"/>
    <n v="7.4399999999999995"/>
  </r>
  <r>
    <x v="0"/>
    <x v="3"/>
    <x v="0"/>
    <s v="High"/>
    <n v="2579"/>
    <n v="3"/>
    <n v="20"/>
    <x v="259"/>
    <n v="7221.2"/>
    <n v="44358.8"/>
    <n v="25790"/>
    <n v="18568.800000000003"/>
    <d v="2014-04-01T00:00:00"/>
    <x v="9"/>
    <x v="9"/>
    <s v="2014"/>
    <n v="7.2000000000000011"/>
  </r>
  <r>
    <x v="0"/>
    <x v="4"/>
    <x v="0"/>
    <s v="High"/>
    <n v="1743"/>
    <n v="3"/>
    <n v="20"/>
    <x v="260"/>
    <n v="4880.3999999999996"/>
    <n v="29979.599999999999"/>
    <n v="17430"/>
    <n v="12549.599999999999"/>
    <d v="2014-05-01T00:00:00"/>
    <x v="10"/>
    <x v="10"/>
    <s v="2014"/>
    <n v="7.1999999999999993"/>
  </r>
  <r>
    <x v="0"/>
    <x v="1"/>
    <x v="0"/>
    <s v="High"/>
    <n v="280"/>
    <n v="3"/>
    <n v="7"/>
    <x v="261"/>
    <n v="274.39999999999998"/>
    <n v="1685.6"/>
    <n v="1400"/>
    <n v="285.59999999999991"/>
    <d v="2014-12-01T00:00:00"/>
    <x v="2"/>
    <x v="2"/>
    <s v="2014"/>
    <n v="1.0199999999999996"/>
  </r>
  <r>
    <x v="0"/>
    <x v="2"/>
    <x v="1"/>
    <s v="High"/>
    <n v="293"/>
    <n v="5"/>
    <n v="7"/>
    <x v="262"/>
    <n v="287.14"/>
    <n v="1763.8600000000001"/>
    <n v="1465"/>
    <n v="298.86000000000013"/>
    <d v="2014-02-01T00:00:00"/>
    <x v="7"/>
    <x v="7"/>
    <s v="2014"/>
    <n v="1.0200000000000005"/>
  </r>
  <r>
    <x v="1"/>
    <x v="1"/>
    <x v="2"/>
    <s v="High"/>
    <n v="278"/>
    <n v="10"/>
    <n v="15"/>
    <x v="263"/>
    <n v="583.79999999999995"/>
    <n v="3586.2"/>
    <n v="2780"/>
    <n v="806.19999999999982"/>
    <d v="2014-02-01T00:00:00"/>
    <x v="7"/>
    <x v="7"/>
    <s v="2014"/>
    <n v="2.8999999999999995"/>
  </r>
  <r>
    <x v="0"/>
    <x v="0"/>
    <x v="2"/>
    <s v="High"/>
    <n v="2428"/>
    <n v="10"/>
    <n v="20"/>
    <x v="264"/>
    <n v="6798.4"/>
    <n v="41761.599999999999"/>
    <n v="24280"/>
    <n v="17481.599999999999"/>
    <d v="2014-03-01T00:00:00"/>
    <x v="3"/>
    <x v="3"/>
    <s v="2014"/>
    <n v="7.1999999999999993"/>
  </r>
  <r>
    <x v="1"/>
    <x v="4"/>
    <x v="2"/>
    <s v="High"/>
    <n v="1767"/>
    <n v="10"/>
    <n v="15"/>
    <x v="265"/>
    <n v="3710.7"/>
    <n v="22794.3"/>
    <n v="17670"/>
    <n v="5124.2999999999993"/>
    <d v="2014-09-01T00:00:00"/>
    <x v="6"/>
    <x v="6"/>
    <s v="2014"/>
    <n v="2.8999999999999995"/>
  </r>
  <r>
    <x v="2"/>
    <x v="2"/>
    <x v="2"/>
    <s v="High"/>
    <n v="1393"/>
    <n v="10"/>
    <n v="12"/>
    <x v="266"/>
    <n v="2340.2399999999998"/>
    <n v="14375.76"/>
    <n v="4179"/>
    <n v="10196.76"/>
    <d v="2014-10-01T00:00:00"/>
    <x v="8"/>
    <x v="8"/>
    <s v="2014"/>
    <n v="7.32"/>
  </r>
  <r>
    <x v="2"/>
    <x v="2"/>
    <x v="3"/>
    <s v="High"/>
    <n v="1393"/>
    <n v="260"/>
    <n v="12"/>
    <x v="266"/>
    <n v="2340.2399999999998"/>
    <n v="14375.76"/>
    <n v="4179"/>
    <n v="10196.76"/>
    <d v="2014-10-01T00:00:00"/>
    <x v="8"/>
    <x v="8"/>
    <s v="2014"/>
    <n v="7.32"/>
  </r>
  <r>
    <x v="4"/>
    <x v="3"/>
    <x v="0"/>
    <s v="High"/>
    <n v="801"/>
    <n v="3"/>
    <n v="300"/>
    <x v="267"/>
    <n v="33642"/>
    <n v="206658"/>
    <n v="200250"/>
    <n v="6408"/>
    <d v="2014-07-01T00:00:00"/>
    <x v="4"/>
    <x v="4"/>
    <s v="2014"/>
    <n v="8"/>
  </r>
  <r>
    <x v="4"/>
    <x v="0"/>
    <x v="0"/>
    <s v="High"/>
    <n v="1496"/>
    <n v="3"/>
    <n v="300"/>
    <x v="268"/>
    <n v="62832"/>
    <n v="385968"/>
    <n v="374000"/>
    <n v="11968"/>
    <d v="2014-10-01T00:00:00"/>
    <x v="8"/>
    <x v="8"/>
    <s v="2014"/>
    <n v="8"/>
  </r>
  <r>
    <x v="4"/>
    <x v="4"/>
    <x v="0"/>
    <s v="High"/>
    <n v="1010"/>
    <n v="3"/>
    <n v="300"/>
    <x v="269"/>
    <n v="42420"/>
    <n v="260580"/>
    <n v="252500"/>
    <n v="8080"/>
    <d v="2014-10-01T00:00:00"/>
    <x v="8"/>
    <x v="8"/>
    <s v="2014"/>
    <n v="8"/>
  </r>
  <r>
    <x v="1"/>
    <x v="1"/>
    <x v="0"/>
    <s v="High"/>
    <n v="1513"/>
    <n v="3"/>
    <n v="15"/>
    <x v="270"/>
    <n v="3177.3"/>
    <n v="19517.7"/>
    <n v="15130"/>
    <n v="4387.7000000000007"/>
    <d v="2014-11-01T00:00:00"/>
    <x v="11"/>
    <x v="11"/>
    <s v="2014"/>
    <n v="2.9000000000000004"/>
  </r>
  <r>
    <x v="1"/>
    <x v="0"/>
    <x v="0"/>
    <s v="High"/>
    <n v="2300"/>
    <n v="3"/>
    <n v="15"/>
    <x v="271"/>
    <n v="4830"/>
    <n v="29670"/>
    <n v="23000"/>
    <n v="6670"/>
    <d v="2014-12-01T00:00:00"/>
    <x v="2"/>
    <x v="2"/>
    <s v="2014"/>
    <n v="2.9"/>
  </r>
  <r>
    <x v="0"/>
    <x v="0"/>
    <x v="1"/>
    <s v="High"/>
    <n v="2227.5"/>
    <n v="5"/>
    <n v="350"/>
    <x v="272"/>
    <n v="109147.5"/>
    <n v="670477.5"/>
    <n v="579150"/>
    <n v="91327.5"/>
    <d v="2014-01-01T00:00:00"/>
    <x v="0"/>
    <x v="0"/>
    <s v="2014"/>
    <n v="41"/>
  </r>
  <r>
    <x v="0"/>
    <x v="1"/>
    <x v="1"/>
    <s v="High"/>
    <n v="1199"/>
    <n v="5"/>
    <n v="350"/>
    <x v="273"/>
    <n v="58751"/>
    <n v="360899"/>
    <n v="311740"/>
    <n v="49159"/>
    <d v="2014-04-01T00:00:00"/>
    <x v="9"/>
    <x v="9"/>
    <s v="2014"/>
    <n v="41"/>
  </r>
  <r>
    <x v="0"/>
    <x v="0"/>
    <x v="1"/>
    <s v="High"/>
    <n v="200"/>
    <n v="5"/>
    <n v="350"/>
    <x v="274"/>
    <n v="9800"/>
    <n v="60200"/>
    <n v="52000"/>
    <n v="8200"/>
    <d v="2014-05-01T00:00:00"/>
    <x v="10"/>
    <x v="10"/>
    <s v="2014"/>
    <n v="41"/>
  </r>
  <r>
    <x v="0"/>
    <x v="0"/>
    <x v="1"/>
    <s v="High"/>
    <n v="388"/>
    <n v="5"/>
    <n v="7"/>
    <x v="275"/>
    <n v="380.24"/>
    <n v="2335.7600000000002"/>
    <n v="1940"/>
    <n v="395.76000000000022"/>
    <d v="2014-09-01T00:00:00"/>
    <x v="6"/>
    <x v="6"/>
    <s v="2014"/>
    <n v="1.0200000000000005"/>
  </r>
  <r>
    <x v="1"/>
    <x v="0"/>
    <x v="1"/>
    <s v="High"/>
    <n v="2300"/>
    <n v="5"/>
    <n v="15"/>
    <x v="271"/>
    <n v="4830"/>
    <n v="29670"/>
    <n v="23000"/>
    <n v="6670"/>
    <d v="2014-12-01T00:00:00"/>
    <x v="2"/>
    <x v="2"/>
    <s v="2014"/>
    <n v="2.9"/>
  </r>
  <r>
    <x v="0"/>
    <x v="3"/>
    <x v="2"/>
    <s v="High"/>
    <n v="260"/>
    <n v="10"/>
    <n v="20"/>
    <x v="276"/>
    <n v="728"/>
    <n v="4472"/>
    <n v="2600"/>
    <n v="1872"/>
    <d v="2014-02-01T00:00:00"/>
    <x v="7"/>
    <x v="7"/>
    <s v="2014"/>
    <n v="7.2"/>
  </r>
  <r>
    <x v="2"/>
    <x v="4"/>
    <x v="2"/>
    <s v="High"/>
    <n v="2914"/>
    <n v="10"/>
    <n v="12"/>
    <x v="277"/>
    <n v="4895.5200000000004"/>
    <n v="30072.48"/>
    <n v="8742"/>
    <n v="21330.48"/>
    <d v="2014-10-01T00:00:00"/>
    <x v="8"/>
    <x v="8"/>
    <s v="2014"/>
    <n v="7.32"/>
  </r>
  <r>
    <x v="0"/>
    <x v="2"/>
    <x v="2"/>
    <s v="High"/>
    <n v="1731"/>
    <n v="10"/>
    <n v="7"/>
    <x v="278"/>
    <n v="1696.38"/>
    <n v="10420.619999999999"/>
    <n v="8655"/>
    <n v="1765.619999999999"/>
    <d v="2014-10-01T00:00:00"/>
    <x v="8"/>
    <x v="8"/>
    <s v="2014"/>
    <n v="1.0199999999999994"/>
  </r>
  <r>
    <x v="0"/>
    <x v="0"/>
    <x v="2"/>
    <s v="High"/>
    <n v="700"/>
    <n v="10"/>
    <n v="350"/>
    <x v="279"/>
    <n v="34300"/>
    <n v="210700"/>
    <n v="182000"/>
    <n v="28700"/>
    <d v="2014-11-01T00:00:00"/>
    <x v="11"/>
    <x v="11"/>
    <s v="2014"/>
    <n v="41"/>
  </r>
  <r>
    <x v="0"/>
    <x v="4"/>
    <x v="2"/>
    <s v="High"/>
    <n v="1177"/>
    <n v="10"/>
    <n v="350"/>
    <x v="280"/>
    <n v="57673"/>
    <n v="354277"/>
    <n v="306020"/>
    <n v="48257"/>
    <d v="2014-11-01T00:00:00"/>
    <x v="11"/>
    <x v="11"/>
    <s v="2014"/>
    <n v="41"/>
  </r>
  <r>
    <x v="4"/>
    <x v="0"/>
    <x v="3"/>
    <s v="High"/>
    <n v="888"/>
    <n v="260"/>
    <n v="300"/>
    <x v="281"/>
    <n v="37296"/>
    <n v="229104"/>
    <n v="222000"/>
    <n v="7104"/>
    <d v="2014-03-01T00:00:00"/>
    <x v="3"/>
    <x v="3"/>
    <s v="2014"/>
    <n v="8"/>
  </r>
  <r>
    <x v="2"/>
    <x v="2"/>
    <x v="3"/>
    <s v="High"/>
    <n v="2475"/>
    <n v="260"/>
    <n v="12"/>
    <x v="282"/>
    <n v="4158"/>
    <n v="25542"/>
    <n v="7425"/>
    <n v="18117"/>
    <d v="2014-08-01T00:00:00"/>
    <x v="5"/>
    <x v="5"/>
    <s v="2014"/>
    <n v="7.32"/>
  </r>
  <r>
    <x v="2"/>
    <x v="4"/>
    <x v="3"/>
    <s v="High"/>
    <n v="2914"/>
    <n v="260"/>
    <n v="12"/>
    <x v="277"/>
    <n v="4895.5200000000004"/>
    <n v="30072.48"/>
    <n v="8742"/>
    <n v="21330.48"/>
    <d v="2014-10-01T00:00:00"/>
    <x v="8"/>
    <x v="8"/>
    <s v="2014"/>
    <n v="7.32"/>
  </r>
  <r>
    <x v="0"/>
    <x v="2"/>
    <x v="3"/>
    <s v="High"/>
    <n v="1731"/>
    <n v="260"/>
    <n v="7"/>
    <x v="278"/>
    <n v="1696.38"/>
    <n v="10420.619999999999"/>
    <n v="8655"/>
    <n v="1765.619999999999"/>
    <d v="2014-10-01T00:00:00"/>
    <x v="8"/>
    <x v="8"/>
    <s v="2014"/>
    <n v="1.0199999999999994"/>
  </r>
  <r>
    <x v="4"/>
    <x v="3"/>
    <x v="1"/>
    <s v="High"/>
    <n v="546"/>
    <n v="5"/>
    <n v="300"/>
    <x v="283"/>
    <n v="24570"/>
    <n v="139230"/>
    <n v="136500"/>
    <n v="2730"/>
    <d v="2014-10-01T00:00:00"/>
    <x v="8"/>
    <x v="8"/>
    <s v="2014"/>
    <n v="5"/>
  </r>
  <r>
    <x v="0"/>
    <x v="1"/>
    <x v="2"/>
    <s v="High"/>
    <n v="1158"/>
    <n v="10"/>
    <n v="20"/>
    <x v="284"/>
    <n v="3474"/>
    <n v="19686"/>
    <n v="11580"/>
    <n v="8106"/>
    <d v="2014-03-01T00:00:00"/>
    <x v="3"/>
    <x v="3"/>
    <s v="2014"/>
    <n v="7"/>
  </r>
  <r>
    <x v="1"/>
    <x v="0"/>
    <x v="2"/>
    <s v="High"/>
    <n v="2559"/>
    <n v="10"/>
    <n v="15"/>
    <x v="285"/>
    <n v="5757.75"/>
    <n v="32627.25"/>
    <n v="25590"/>
    <n v="7037.25"/>
    <d v="2014-04-01T00:00:00"/>
    <x v="9"/>
    <x v="9"/>
    <s v="2014"/>
    <n v="2.75"/>
  </r>
  <r>
    <x v="0"/>
    <x v="3"/>
    <x v="2"/>
    <s v="High"/>
    <n v="2535"/>
    <n v="10"/>
    <n v="7"/>
    <x v="286"/>
    <n v="2661.75"/>
    <n v="15083.25"/>
    <n v="12675"/>
    <n v="2408.25"/>
    <d v="2014-04-01T00:00:00"/>
    <x v="9"/>
    <x v="9"/>
    <s v="2014"/>
    <n v="0.95"/>
  </r>
  <r>
    <x v="0"/>
    <x v="3"/>
    <x v="2"/>
    <s v="High"/>
    <n v="2851"/>
    <n v="10"/>
    <n v="350"/>
    <x v="287"/>
    <n v="149677.5"/>
    <n v="848172.5"/>
    <n v="741260"/>
    <n v="106912.5"/>
    <d v="2014-05-01T00:00:00"/>
    <x v="10"/>
    <x v="10"/>
    <s v="2014"/>
    <n v="37.5"/>
  </r>
  <r>
    <x v="1"/>
    <x v="0"/>
    <x v="2"/>
    <s v="High"/>
    <n v="2559"/>
    <n v="10"/>
    <n v="15"/>
    <x v="285"/>
    <n v="5757.75"/>
    <n v="32627.25"/>
    <n v="25590"/>
    <n v="7037.25"/>
    <d v="2014-08-01T00:00:00"/>
    <x v="5"/>
    <x v="5"/>
    <s v="2014"/>
    <n v="2.75"/>
  </r>
  <r>
    <x v="1"/>
    <x v="1"/>
    <x v="2"/>
    <s v="High"/>
    <n v="1175"/>
    <n v="10"/>
    <n v="15"/>
    <x v="288"/>
    <n v="2643.75"/>
    <n v="14981.25"/>
    <n v="11750"/>
    <n v="3231.25"/>
    <d v="2014-10-01T00:00:00"/>
    <x v="8"/>
    <x v="8"/>
    <s v="2014"/>
    <n v="2.75"/>
  </r>
  <r>
    <x v="2"/>
    <x v="4"/>
    <x v="2"/>
    <s v="High"/>
    <n v="914"/>
    <n v="10"/>
    <n v="12"/>
    <x v="289"/>
    <n v="1645.2"/>
    <n v="9322.7999999999993"/>
    <n v="2742"/>
    <n v="6580.7999999999993"/>
    <d v="2014-12-01T00:00:00"/>
    <x v="2"/>
    <x v="2"/>
    <s v="2014"/>
    <n v="7.1999999999999993"/>
  </r>
  <r>
    <x v="0"/>
    <x v="2"/>
    <x v="2"/>
    <s v="High"/>
    <n v="293"/>
    <n v="10"/>
    <n v="20"/>
    <x v="290"/>
    <n v="879"/>
    <n v="4981"/>
    <n v="2930"/>
    <n v="2051"/>
    <d v="2014-12-01T00:00:00"/>
    <x v="2"/>
    <x v="2"/>
    <s v="2014"/>
    <n v="7"/>
  </r>
  <r>
    <x v="4"/>
    <x v="2"/>
    <x v="3"/>
    <s v="High"/>
    <n v="2475"/>
    <n v="260"/>
    <n v="300"/>
    <x v="291"/>
    <n v="111375"/>
    <n v="631125"/>
    <n v="618750"/>
    <n v="12375"/>
    <d v="2014-03-01T00:00:00"/>
    <x v="3"/>
    <x v="3"/>
    <s v="2014"/>
    <n v="5"/>
  </r>
  <r>
    <x v="4"/>
    <x v="3"/>
    <x v="3"/>
    <s v="High"/>
    <n v="546"/>
    <n v="260"/>
    <n v="300"/>
    <x v="283"/>
    <n v="24570"/>
    <n v="139230"/>
    <n v="136500"/>
    <n v="2730"/>
    <d v="2014-10-01T00:00:00"/>
    <x v="8"/>
    <x v="8"/>
    <s v="2014"/>
    <n v="5"/>
  </r>
  <r>
    <x v="0"/>
    <x v="3"/>
    <x v="1"/>
    <s v="High"/>
    <n v="1368"/>
    <n v="5"/>
    <n v="7"/>
    <x v="292"/>
    <n v="1436.4"/>
    <n v="8139.6"/>
    <n v="6840"/>
    <n v="1299.6000000000004"/>
    <d v="2014-02-01T00:00:00"/>
    <x v="7"/>
    <x v="7"/>
    <s v="2014"/>
    <n v="0.95000000000000029"/>
  </r>
  <r>
    <x v="0"/>
    <x v="0"/>
    <x v="2"/>
    <s v="High"/>
    <n v="723"/>
    <n v="10"/>
    <n v="7"/>
    <x v="293"/>
    <n v="759.15000000000009"/>
    <n v="4301.8500000000004"/>
    <n v="3615"/>
    <n v="686.85000000000014"/>
    <d v="2014-04-01T00:00:00"/>
    <x v="9"/>
    <x v="9"/>
    <s v="2014"/>
    <n v="0.95000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Q2:R28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26">
    <i>
      <x/>
    </i>
    <i r="1">
      <x v="3"/>
    </i>
    <i r="1">
      <x v="1"/>
    </i>
    <i r="1">
      <x/>
    </i>
    <i r="1">
      <x v="2"/>
    </i>
    <i>
      <x v="1"/>
    </i>
    <i r="1">
      <x v="3"/>
    </i>
    <i r="1">
      <x v="2"/>
    </i>
    <i r="1">
      <x v="1"/>
    </i>
    <i r="1">
      <x/>
    </i>
    <i>
      <x v="2"/>
    </i>
    <i r="1">
      <x v="3"/>
    </i>
    <i r="1">
      <x v="1"/>
    </i>
    <i r="1">
      <x/>
    </i>
    <i r="1">
      <x v="2"/>
    </i>
    <i>
      <x v="3"/>
    </i>
    <i r="1">
      <x v="3"/>
    </i>
    <i r="1">
      <x/>
    </i>
    <i r="1">
      <x v="1"/>
    </i>
    <i r="1">
      <x v="2"/>
    </i>
    <i>
      <x v="4"/>
    </i>
    <i r="1">
      <x v="3"/>
    </i>
    <i r="1">
      <x/>
    </i>
    <i r="1">
      <x v="2"/>
    </i>
    <i r="1">
      <x v="1"/>
    </i>
    <i t="grand">
      <x/>
    </i>
  </rowItems>
  <colItems count="1">
    <i/>
  </colItems>
  <dataFields count="1">
    <dataField name="Sum of Profit" fld="11" baseField="0" baseItem="0" numFmtId="164"/>
  </dataFields>
  <formats count="3">
    <format dxfId="2">
      <pivotArea collapsedLevelsAreSubtotals="1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>
  <location ref="T44:V50" firstHeaderRow="0" firstDataRow="1" firstDataCol="1" rowPageCount="1" colPageCount="1"/>
  <pivotFields count="21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4" hier="-1"/>
  </pageFields>
  <dataFields count="2">
    <dataField name="Sum of Units Sold" fld="4" baseField="0" baseItem="0"/>
    <dataField name="Sum of  Sales" fld="9" baseField="0" baseItem="0"/>
  </dataFields>
  <formats count="1">
    <format dxfId="3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13:G39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26">
    <i>
      <x/>
    </i>
    <i r="1">
      <x/>
    </i>
    <i r="1">
      <x v="1"/>
    </i>
    <i r="1">
      <x v="3"/>
    </i>
    <i r="1">
      <x v="2"/>
    </i>
    <i>
      <x v="1"/>
    </i>
    <i r="1">
      <x v="2"/>
    </i>
    <i r="1">
      <x v="3"/>
    </i>
    <i r="1">
      <x/>
    </i>
    <i r="1">
      <x v="1"/>
    </i>
    <i>
      <x v="2"/>
    </i>
    <i r="1">
      <x v="1"/>
    </i>
    <i r="1">
      <x/>
    </i>
    <i r="1">
      <x v="2"/>
    </i>
    <i r="1">
      <x v="3"/>
    </i>
    <i>
      <x v="3"/>
    </i>
    <i r="1">
      <x v="1"/>
    </i>
    <i r="1">
      <x/>
    </i>
    <i r="1">
      <x v="3"/>
    </i>
    <i r="1">
      <x v="2"/>
    </i>
    <i>
      <x v="4"/>
    </i>
    <i r="1">
      <x/>
    </i>
    <i r="1">
      <x v="2"/>
    </i>
    <i r="1">
      <x v="1"/>
    </i>
    <i r="1">
      <x v="3"/>
    </i>
    <i t="grand">
      <x/>
    </i>
  </rowItems>
  <colItems count="1">
    <i/>
  </colItems>
  <dataFields count="1">
    <dataField name="Average of Profit / Unit" fld="19" subtotal="average" baseField="1" baseItem="0" numFmtId="164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13:J39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26">
    <i>
      <x/>
    </i>
    <i r="1">
      <x v="3"/>
    </i>
    <i r="1">
      <x v="2"/>
    </i>
    <i r="1">
      <x v="1"/>
    </i>
    <i r="1">
      <x/>
    </i>
    <i>
      <x v="1"/>
    </i>
    <i r="1">
      <x v="3"/>
    </i>
    <i r="1">
      <x v="1"/>
    </i>
    <i r="1">
      <x/>
    </i>
    <i r="1">
      <x v="2"/>
    </i>
    <i>
      <x v="2"/>
    </i>
    <i r="1">
      <x v="3"/>
    </i>
    <i r="1">
      <x v="2"/>
    </i>
    <i r="1">
      <x/>
    </i>
    <i r="1">
      <x v="1"/>
    </i>
    <i>
      <x v="3"/>
    </i>
    <i r="1">
      <x v="3"/>
    </i>
    <i r="1">
      <x v="2"/>
    </i>
    <i r="1">
      <x/>
    </i>
    <i r="1">
      <x v="1"/>
    </i>
    <i>
      <x v="4"/>
    </i>
    <i r="1">
      <x v="3"/>
    </i>
    <i r="1">
      <x v="1"/>
    </i>
    <i r="1">
      <x v="2"/>
    </i>
    <i r="1">
      <x/>
    </i>
    <i t="grand">
      <x/>
    </i>
  </rowItems>
  <colItems count="1">
    <i/>
  </colItems>
  <dataFields count="1">
    <dataField name="Sum of Units Sol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2:M8" firstHeaderRow="0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Sales" fld="9" baseField="0" baseItem="0"/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X57:Y63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fit per Unit" fld="16" subtotal="average" baseField="1" baseItem="0" numFmtId="164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6:N42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Units Sol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2:O28" firstHeaderRow="1" firstDataRow="1" firstDataCol="1"/>
  <pivotFields count="21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2"/>
  </rowFields>
  <rowItems count="26">
    <i>
      <x/>
    </i>
    <i r="1">
      <x v="3"/>
    </i>
    <i r="1">
      <x v="1"/>
    </i>
    <i r="1">
      <x/>
    </i>
    <i r="1">
      <x v="2"/>
    </i>
    <i>
      <x v="1"/>
    </i>
    <i r="1">
      <x v="3"/>
    </i>
    <i r="1">
      <x v="1"/>
    </i>
    <i r="1">
      <x v="2"/>
    </i>
    <i r="1">
      <x/>
    </i>
    <i>
      <x v="2"/>
    </i>
    <i r="1">
      <x v="3"/>
    </i>
    <i r="1">
      <x v="1"/>
    </i>
    <i r="1">
      <x v="2"/>
    </i>
    <i r="1">
      <x/>
    </i>
    <i>
      <x v="3"/>
    </i>
    <i r="1">
      <x v="3"/>
    </i>
    <i r="1">
      <x v="1"/>
    </i>
    <i r="1">
      <x v="2"/>
    </i>
    <i r="1">
      <x/>
    </i>
    <i>
      <x v="4"/>
    </i>
    <i r="1">
      <x v="3"/>
    </i>
    <i r="1">
      <x v="2"/>
    </i>
    <i r="1">
      <x/>
    </i>
    <i r="1">
      <x v="1"/>
    </i>
    <i t="grand">
      <x/>
    </i>
  </rowItems>
  <colItems count="1">
    <i/>
  </colItems>
  <dataFields count="1">
    <dataField name="Sum of  Sales" fld="9" baseField="0" baseItem="0" numFmtId="164"/>
  </dataFields>
  <formats count="2">
    <format dxfId="9">
      <pivotArea outline="0" collapsedLevelsAreSubtotals="1" fieldPosition="0"/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7" indent="0" outline="1" outlineData="1" multipleFieldFilters="0" chartFormat="17">
  <location ref="T20:Y33" firstHeaderRow="0" firstDataRow="1" firstDataCol="1" rowPageCount="1" colPageCount="1"/>
  <pivotFields count="21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" item="4" hier="-1"/>
  </pageField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Profit / Unit" fld="19" baseField="0" baseItem="0"/>
    <dataField name="Sum of Sum oF Margin" fld="20" baseField="0" baseItem="0" numFmtId="44"/>
  </dataFields>
  <formats count="4">
    <format dxfId="13">
      <pivotArea collapsedLevelsAreSubtotals="1" fieldPosition="0">
        <references count="2">
          <reference field="4294967294" count="1" selected="0">
            <x v="3"/>
          </reference>
          <reference field="14" count="0"/>
        </references>
      </pivotArea>
    </format>
    <format dxfId="12">
      <pivotArea field="14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4"/>
          </reference>
          <reference field="14" count="0"/>
        </references>
      </pivotArea>
    </format>
    <format dxfId="10">
      <pivotArea field="14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T2:Y15" firstHeaderRow="0" firstDataRow="1" firstDataCol="1"/>
  <pivotFields count="21">
    <pivotField showAll="0"/>
    <pivotField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Margin" fld="17" baseField="0" baseItem="0" numFmtId="9"/>
    <dataField name="Profit / unit" fld="18" baseField="0" baseItem="0" numFmtId="164"/>
  </dataFields>
  <formats count="4">
    <format dxfId="1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les" displayName="sales" ref="A1:Q337" totalsRowShown="0" headerRowDxfId="33" dataDxfId="32" headerRowCellStyle="Currency" dataCellStyle="Currency">
  <tableColumns count="17">
    <tableColumn id="1" name="Segment"/>
    <tableColumn id="2" name="Employee"/>
    <tableColumn id="16" name="Product" dataDxfId="31" dataCellStyle="Currency"/>
    <tableColumn id="19" name="Discount Band" dataDxfId="30" dataCellStyle="Currency"/>
    <tableColumn id="6" name="Units Sold"/>
    <tableColumn id="7" name="Manufacturing Price" dataDxfId="29" dataCellStyle="Currency"/>
    <tableColumn id="8" name="Sale Price" dataDxfId="28" dataCellStyle="Currency"/>
    <tableColumn id="9" name="Gross Sales" dataDxfId="27" dataCellStyle="Currency"/>
    <tableColumn id="10" name="Discounts" dataDxfId="26" dataCellStyle="Currency"/>
    <tableColumn id="11" name=" Sales" dataDxfId="25" dataCellStyle="Currency"/>
    <tableColumn id="12" name="COGS" dataDxfId="24" dataCellStyle="Currency"/>
    <tableColumn id="13" name="Profit" dataDxfId="23" dataCellStyle="Currency"/>
    <tableColumn id="4" name="Date" dataDxfId="22" dataCellStyle="Currency"/>
    <tableColumn id="17" name="Month Number" dataDxfId="21" dataCellStyle="Currency"/>
    <tableColumn id="18" name="Month Name" dataDxfId="20" dataCellStyle="Currency"/>
    <tableColumn id="20" name="Year" dataDxfId="19" dataCellStyle="Currency"/>
    <tableColumn id="3" name="Profit per Unit" dataDxfId="18" dataCellStyle="Currency">
      <calculatedColumnFormula>sales[[#This Row],[Profit]]/sales[[#This Row],[Units Sold]]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pjones@companyx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0"/>
  <sheetViews>
    <sheetView showGridLines="0" tabSelected="1" zoomScaleNormal="100" workbookViewId="0">
      <selection activeCell="E18" sqref="E18"/>
    </sheetView>
  </sheetViews>
  <sheetFormatPr defaultRowHeight="15" x14ac:dyDescent="0.25"/>
  <sheetData>
    <row r="1" spans="1:16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5"/>
      <c r="N2" s="6"/>
      <c r="O2" s="6"/>
      <c r="P2" s="6"/>
    </row>
    <row r="3" spans="1:16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6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6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6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6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6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1:16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1:16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16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16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16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16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16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16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  <row r="41" spans="1:16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</row>
    <row r="42" spans="1:16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</row>
    <row r="43" spans="1:1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</row>
    <row r="44" spans="1:1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</row>
    <row r="45" spans="1:1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16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</row>
    <row r="47" spans="1:16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</row>
    <row r="48" spans="1:16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</row>
    <row r="49" spans="1:16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  <row r="50" spans="1:1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</row>
    <row r="51" spans="1:1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</row>
    <row r="52" spans="1:1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</row>
    <row r="53" spans="1:16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</row>
    <row r="54" spans="1:16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</row>
    <row r="55" spans="1:16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</row>
    <row r="56" spans="1:16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</row>
    <row r="57" spans="1:16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</row>
    <row r="58" spans="1:16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</row>
    <row r="59" spans="1:16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</row>
    <row r="60" spans="1:16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Drop Down 5">
              <controlPr defaultSize="0" autoLine="0" autoPict="0" macro="[0]!abc">
                <anchor moveWithCells="1">
                  <from>
                    <xdr:col>0</xdr:col>
                    <xdr:colOff>152400</xdr:colOff>
                    <xdr:row>13</xdr:row>
                    <xdr:rowOff>28575</xdr:rowOff>
                  </from>
                  <to>
                    <xdr:col>2</xdr:col>
                    <xdr:colOff>190500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337"/>
  <sheetViews>
    <sheetView workbookViewId="0">
      <selection activeCell="O8" sqref="O8"/>
    </sheetView>
  </sheetViews>
  <sheetFormatPr defaultRowHeight="15" x14ac:dyDescent="0.25"/>
  <cols>
    <col min="1" max="1" width="14.85546875" bestFit="1" customWidth="1"/>
    <col min="2" max="2" width="13.28515625" bestFit="1" customWidth="1"/>
    <col min="3" max="3" width="10" bestFit="1" customWidth="1"/>
    <col min="4" max="4" width="14.140625" bestFit="1" customWidth="1"/>
    <col min="5" max="5" width="9.42578125" bestFit="1" customWidth="1"/>
    <col min="6" max="6" width="19.28515625" bestFit="1" customWidth="1"/>
    <col min="7" max="7" width="9.85546875" bestFit="1" customWidth="1"/>
    <col min="8" max="8" width="13.85546875" bestFit="1" customWidth="1"/>
    <col min="9" max="9" width="12.7109375" bestFit="1" customWidth="1"/>
    <col min="10" max="10" width="13.85546875" bestFit="1" customWidth="1"/>
    <col min="11" max="12" width="12.7109375" bestFit="1" customWidth="1"/>
    <col min="13" max="13" width="10.28515625" bestFit="1" customWidth="1"/>
    <col min="14" max="14" width="14.28515625" bestFit="1" customWidth="1"/>
    <col min="15" max="15" width="13.28515625" bestFit="1" customWidth="1"/>
    <col min="16" max="16" width="5" bestFit="1" customWidth="1"/>
    <col min="17" max="17" width="13.85546875" bestFit="1" customWidth="1"/>
  </cols>
  <sheetData>
    <row r="1" spans="1:17" x14ac:dyDescent="0.25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4" t="s">
        <v>13</v>
      </c>
      <c r="O1" s="1" t="s">
        <v>14</v>
      </c>
      <c r="P1" s="5" t="s">
        <v>15</v>
      </c>
      <c r="Q1" s="2" t="s">
        <v>16</v>
      </c>
    </row>
    <row r="2" spans="1:17" x14ac:dyDescent="0.25">
      <c r="A2" t="s">
        <v>17</v>
      </c>
      <c r="B2" t="s">
        <v>18</v>
      </c>
      <c r="C2" s="1" t="s">
        <v>19</v>
      </c>
      <c r="D2" s="1" t="s">
        <v>20</v>
      </c>
      <c r="E2">
        <v>1618.5</v>
      </c>
      <c r="F2" s="2">
        <v>3</v>
      </c>
      <c r="G2" s="2">
        <v>20</v>
      </c>
      <c r="H2" s="2">
        <v>32370</v>
      </c>
      <c r="I2" s="2">
        <v>0</v>
      </c>
      <c r="J2" s="2">
        <v>32370</v>
      </c>
      <c r="K2" s="2">
        <v>16185</v>
      </c>
      <c r="L2" s="2">
        <v>16185</v>
      </c>
      <c r="M2" s="3">
        <v>41640</v>
      </c>
      <c r="N2" s="4">
        <v>1</v>
      </c>
      <c r="O2" s="1" t="s">
        <v>21</v>
      </c>
      <c r="P2" s="5" t="s">
        <v>22</v>
      </c>
      <c r="Q2" s="2">
        <f>sales[[#This Row],[Profit]]/sales[[#This Row],[Units Sold]]</f>
        <v>10</v>
      </c>
    </row>
    <row r="3" spans="1:17" x14ac:dyDescent="0.25">
      <c r="A3" t="s">
        <v>17</v>
      </c>
      <c r="B3" t="s">
        <v>23</v>
      </c>
      <c r="C3" s="1" t="s">
        <v>19</v>
      </c>
      <c r="D3" s="1" t="s">
        <v>20</v>
      </c>
      <c r="E3">
        <v>1321</v>
      </c>
      <c r="F3" s="2">
        <v>3</v>
      </c>
      <c r="G3" s="2">
        <v>20</v>
      </c>
      <c r="H3" s="2">
        <v>26420</v>
      </c>
      <c r="I3" s="2">
        <v>0</v>
      </c>
      <c r="J3" s="2">
        <v>26420</v>
      </c>
      <c r="K3" s="2">
        <v>13210</v>
      </c>
      <c r="L3" s="2">
        <v>13210</v>
      </c>
      <c r="M3" s="3">
        <v>41640</v>
      </c>
      <c r="N3" s="4">
        <v>1</v>
      </c>
      <c r="O3" s="1" t="s">
        <v>21</v>
      </c>
      <c r="P3" s="5" t="s">
        <v>22</v>
      </c>
      <c r="Q3" s="2">
        <f>sales[[#This Row],[Profit]]/sales[[#This Row],[Units Sold]]</f>
        <v>10</v>
      </c>
    </row>
    <row r="4" spans="1:17" x14ac:dyDescent="0.25">
      <c r="A4" t="s">
        <v>24</v>
      </c>
      <c r="B4" t="s">
        <v>25</v>
      </c>
      <c r="C4" s="1" t="s">
        <v>19</v>
      </c>
      <c r="D4" s="1" t="s">
        <v>20</v>
      </c>
      <c r="E4">
        <v>2178</v>
      </c>
      <c r="F4" s="2">
        <v>3</v>
      </c>
      <c r="G4" s="2">
        <v>15</v>
      </c>
      <c r="H4" s="2">
        <v>32670</v>
      </c>
      <c r="I4" s="2">
        <v>0</v>
      </c>
      <c r="J4" s="2">
        <v>32670</v>
      </c>
      <c r="K4" s="2">
        <v>21780</v>
      </c>
      <c r="L4" s="2">
        <v>10890</v>
      </c>
      <c r="M4" s="3">
        <v>41791</v>
      </c>
      <c r="N4" s="4">
        <v>6</v>
      </c>
      <c r="O4" s="1" t="s">
        <v>26</v>
      </c>
      <c r="P4" s="5" t="s">
        <v>22</v>
      </c>
      <c r="Q4" s="2">
        <f>sales[[#This Row],[Profit]]/sales[[#This Row],[Units Sold]]</f>
        <v>5</v>
      </c>
    </row>
    <row r="5" spans="1:17" x14ac:dyDescent="0.25">
      <c r="A5" t="s">
        <v>24</v>
      </c>
      <c r="B5" t="s">
        <v>23</v>
      </c>
      <c r="C5" s="1" t="s">
        <v>19</v>
      </c>
      <c r="D5" s="1" t="s">
        <v>20</v>
      </c>
      <c r="E5">
        <v>888</v>
      </c>
      <c r="F5" s="2">
        <v>3</v>
      </c>
      <c r="G5" s="2">
        <v>15</v>
      </c>
      <c r="H5" s="2">
        <v>13320</v>
      </c>
      <c r="I5" s="2">
        <v>0</v>
      </c>
      <c r="J5" s="2">
        <v>13320</v>
      </c>
      <c r="K5" s="2">
        <v>8880</v>
      </c>
      <c r="L5" s="2">
        <v>4440</v>
      </c>
      <c r="M5" s="3">
        <v>41791</v>
      </c>
      <c r="N5" s="4">
        <v>6</v>
      </c>
      <c r="O5" s="1" t="s">
        <v>26</v>
      </c>
      <c r="P5" s="5" t="s">
        <v>22</v>
      </c>
      <c r="Q5" s="2">
        <f>sales[[#This Row],[Profit]]/sales[[#This Row],[Units Sold]]</f>
        <v>5</v>
      </c>
    </row>
    <row r="6" spans="1:17" x14ac:dyDescent="0.25">
      <c r="A6" t="s">
        <v>24</v>
      </c>
      <c r="B6" t="s">
        <v>27</v>
      </c>
      <c r="C6" s="1" t="s">
        <v>19</v>
      </c>
      <c r="D6" s="1" t="s">
        <v>20</v>
      </c>
      <c r="E6">
        <v>2470</v>
      </c>
      <c r="F6" s="2">
        <v>3</v>
      </c>
      <c r="G6" s="2">
        <v>15</v>
      </c>
      <c r="H6" s="2">
        <v>37050</v>
      </c>
      <c r="I6" s="2">
        <v>0</v>
      </c>
      <c r="J6" s="2">
        <v>37050</v>
      </c>
      <c r="K6" s="2">
        <v>24700</v>
      </c>
      <c r="L6" s="2">
        <v>12350</v>
      </c>
      <c r="M6" s="3">
        <v>41791</v>
      </c>
      <c r="N6" s="4">
        <v>6</v>
      </c>
      <c r="O6" s="1" t="s">
        <v>26</v>
      </c>
      <c r="P6" s="5" t="s">
        <v>22</v>
      </c>
      <c r="Q6" s="2">
        <f>sales[[#This Row],[Profit]]/sales[[#This Row],[Units Sold]]</f>
        <v>5</v>
      </c>
    </row>
    <row r="7" spans="1:17" x14ac:dyDescent="0.25">
      <c r="A7" t="s">
        <v>17</v>
      </c>
      <c r="B7" t="s">
        <v>23</v>
      </c>
      <c r="C7" s="1" t="s">
        <v>19</v>
      </c>
      <c r="D7" s="1" t="s">
        <v>20</v>
      </c>
      <c r="E7">
        <v>1513</v>
      </c>
      <c r="F7" s="2">
        <v>3</v>
      </c>
      <c r="G7" s="2">
        <v>350</v>
      </c>
      <c r="H7" s="2">
        <v>529550</v>
      </c>
      <c r="I7" s="2">
        <v>0</v>
      </c>
      <c r="J7" s="2">
        <v>529550</v>
      </c>
      <c r="K7" s="2">
        <v>393380</v>
      </c>
      <c r="L7" s="2">
        <v>136170</v>
      </c>
      <c r="M7" s="3">
        <v>41974</v>
      </c>
      <c r="N7" s="4">
        <v>12</v>
      </c>
      <c r="O7" s="1" t="s">
        <v>28</v>
      </c>
      <c r="P7" s="5" t="s">
        <v>22</v>
      </c>
      <c r="Q7" s="2">
        <f>sales[[#This Row],[Profit]]/sales[[#This Row],[Units Sold]]</f>
        <v>90</v>
      </c>
    </row>
    <row r="8" spans="1:17" x14ac:dyDescent="0.25">
      <c r="A8" t="s">
        <v>24</v>
      </c>
      <c r="B8" t="s">
        <v>23</v>
      </c>
      <c r="C8" s="1" t="s">
        <v>29</v>
      </c>
      <c r="D8" s="1" t="s">
        <v>20</v>
      </c>
      <c r="E8">
        <v>921</v>
      </c>
      <c r="F8" s="2">
        <v>5</v>
      </c>
      <c r="G8" s="2">
        <v>15</v>
      </c>
      <c r="H8" s="2">
        <v>13815</v>
      </c>
      <c r="I8" s="2">
        <v>0</v>
      </c>
      <c r="J8" s="2">
        <v>13815</v>
      </c>
      <c r="K8" s="2">
        <v>9210</v>
      </c>
      <c r="L8" s="2">
        <v>4605</v>
      </c>
      <c r="M8" s="3">
        <v>41699</v>
      </c>
      <c r="N8" s="4">
        <v>3</v>
      </c>
      <c r="O8" s="1" t="s">
        <v>30</v>
      </c>
      <c r="P8" s="5" t="s">
        <v>22</v>
      </c>
      <c r="Q8" s="2">
        <f>sales[[#This Row],[Profit]]/sales[[#This Row],[Units Sold]]</f>
        <v>5</v>
      </c>
    </row>
    <row r="9" spans="1:17" x14ac:dyDescent="0.25">
      <c r="A9" t="s">
        <v>31</v>
      </c>
      <c r="B9" t="s">
        <v>18</v>
      </c>
      <c r="C9" s="1" t="s">
        <v>29</v>
      </c>
      <c r="D9" s="1" t="s">
        <v>20</v>
      </c>
      <c r="E9">
        <v>2518</v>
      </c>
      <c r="F9" s="2">
        <v>5</v>
      </c>
      <c r="G9" s="2">
        <v>12</v>
      </c>
      <c r="H9" s="2">
        <v>30216</v>
      </c>
      <c r="I9" s="2">
        <v>0</v>
      </c>
      <c r="J9" s="2">
        <v>30216</v>
      </c>
      <c r="K9" s="2">
        <v>7554</v>
      </c>
      <c r="L9" s="2">
        <v>22662</v>
      </c>
      <c r="M9" s="3">
        <v>41791</v>
      </c>
      <c r="N9" s="4">
        <v>6</v>
      </c>
      <c r="O9" s="1" t="s">
        <v>26</v>
      </c>
      <c r="P9" s="5" t="s">
        <v>22</v>
      </c>
      <c r="Q9" s="2">
        <f>sales[[#This Row],[Profit]]/sales[[#This Row],[Units Sold]]</f>
        <v>9</v>
      </c>
    </row>
    <row r="10" spans="1:17" x14ac:dyDescent="0.25">
      <c r="A10" t="s">
        <v>17</v>
      </c>
      <c r="B10" t="s">
        <v>25</v>
      </c>
      <c r="C10" s="1" t="s">
        <v>29</v>
      </c>
      <c r="D10" s="1" t="s">
        <v>20</v>
      </c>
      <c r="E10">
        <v>1899</v>
      </c>
      <c r="F10" s="2">
        <v>5</v>
      </c>
      <c r="G10" s="2">
        <v>20</v>
      </c>
      <c r="H10" s="2">
        <v>37980</v>
      </c>
      <c r="I10" s="2">
        <v>0</v>
      </c>
      <c r="J10" s="2">
        <v>37980</v>
      </c>
      <c r="K10" s="2">
        <v>18990</v>
      </c>
      <c r="L10" s="2">
        <v>18990</v>
      </c>
      <c r="M10" s="3">
        <v>41791</v>
      </c>
      <c r="N10" s="4">
        <v>6</v>
      </c>
      <c r="O10" s="1" t="s">
        <v>26</v>
      </c>
      <c r="P10" s="5" t="s">
        <v>22</v>
      </c>
      <c r="Q10" s="2">
        <f>sales[[#This Row],[Profit]]/sales[[#This Row],[Units Sold]]</f>
        <v>10</v>
      </c>
    </row>
    <row r="11" spans="1:17" x14ac:dyDescent="0.25">
      <c r="A11" t="s">
        <v>31</v>
      </c>
      <c r="B11" t="s">
        <v>23</v>
      </c>
      <c r="C11" s="1" t="s">
        <v>29</v>
      </c>
      <c r="D11" s="1" t="s">
        <v>20</v>
      </c>
      <c r="E11">
        <v>1545</v>
      </c>
      <c r="F11" s="2">
        <v>5</v>
      </c>
      <c r="G11" s="2">
        <v>12</v>
      </c>
      <c r="H11" s="2">
        <v>18540</v>
      </c>
      <c r="I11" s="2">
        <v>0</v>
      </c>
      <c r="J11" s="2">
        <v>18540</v>
      </c>
      <c r="K11" s="2">
        <v>4635</v>
      </c>
      <c r="L11" s="2">
        <v>13905</v>
      </c>
      <c r="M11" s="3">
        <v>41791</v>
      </c>
      <c r="N11" s="4">
        <v>6</v>
      </c>
      <c r="O11" s="1" t="s">
        <v>26</v>
      </c>
      <c r="P11" s="5" t="s">
        <v>22</v>
      </c>
      <c r="Q11" s="2">
        <f>sales[[#This Row],[Profit]]/sales[[#This Row],[Units Sold]]</f>
        <v>9</v>
      </c>
    </row>
    <row r="12" spans="1:17" x14ac:dyDescent="0.25">
      <c r="A12" t="s">
        <v>24</v>
      </c>
      <c r="B12" t="s">
        <v>27</v>
      </c>
      <c r="C12" s="1" t="s">
        <v>29</v>
      </c>
      <c r="D12" s="1" t="s">
        <v>20</v>
      </c>
      <c r="E12">
        <v>2470</v>
      </c>
      <c r="F12" s="2">
        <v>5</v>
      </c>
      <c r="G12" s="2">
        <v>15</v>
      </c>
      <c r="H12" s="2">
        <v>37050</v>
      </c>
      <c r="I12" s="2">
        <v>0</v>
      </c>
      <c r="J12" s="2">
        <v>37050</v>
      </c>
      <c r="K12" s="2">
        <v>24700</v>
      </c>
      <c r="L12" s="2">
        <v>12350</v>
      </c>
      <c r="M12" s="3">
        <v>41791</v>
      </c>
      <c r="N12" s="4">
        <v>6</v>
      </c>
      <c r="O12" s="1" t="s">
        <v>26</v>
      </c>
      <c r="P12" s="5" t="s">
        <v>22</v>
      </c>
      <c r="Q12" s="2">
        <f>sales[[#This Row],[Profit]]/sales[[#This Row],[Units Sold]]</f>
        <v>5</v>
      </c>
    </row>
    <row r="13" spans="1:17" x14ac:dyDescent="0.25">
      <c r="A13" t="s">
        <v>32</v>
      </c>
      <c r="B13" t="s">
        <v>18</v>
      </c>
      <c r="C13" s="1" t="s">
        <v>29</v>
      </c>
      <c r="D13" s="1" t="s">
        <v>20</v>
      </c>
      <c r="E13">
        <v>2665.5</v>
      </c>
      <c r="F13" s="2">
        <v>5</v>
      </c>
      <c r="G13" s="2">
        <v>125</v>
      </c>
      <c r="H13" s="2">
        <v>333187.5</v>
      </c>
      <c r="I13" s="2">
        <v>0</v>
      </c>
      <c r="J13" s="2">
        <v>333187.5</v>
      </c>
      <c r="K13" s="2">
        <v>319860</v>
      </c>
      <c r="L13" s="2">
        <v>13327.5</v>
      </c>
      <c r="M13" s="3">
        <v>41821</v>
      </c>
      <c r="N13" s="4">
        <v>7</v>
      </c>
      <c r="O13" s="1" t="s">
        <v>33</v>
      </c>
      <c r="P13" s="5" t="s">
        <v>22</v>
      </c>
      <c r="Q13" s="2">
        <f>sales[[#This Row],[Profit]]/sales[[#This Row],[Units Sold]]</f>
        <v>5</v>
      </c>
    </row>
    <row r="14" spans="1:17" x14ac:dyDescent="0.25">
      <c r="A14" t="s">
        <v>34</v>
      </c>
      <c r="B14" t="s">
        <v>27</v>
      </c>
      <c r="C14" s="1" t="s">
        <v>29</v>
      </c>
      <c r="D14" s="1" t="s">
        <v>20</v>
      </c>
      <c r="E14">
        <v>958</v>
      </c>
      <c r="F14" s="2">
        <v>5</v>
      </c>
      <c r="G14" s="2">
        <v>300</v>
      </c>
      <c r="H14" s="2">
        <v>287400</v>
      </c>
      <c r="I14" s="2">
        <v>0</v>
      </c>
      <c r="J14" s="2">
        <v>287400</v>
      </c>
      <c r="K14" s="2">
        <v>239500</v>
      </c>
      <c r="L14" s="2">
        <v>47900</v>
      </c>
      <c r="M14" s="3">
        <v>41852</v>
      </c>
      <c r="N14" s="4">
        <v>8</v>
      </c>
      <c r="O14" s="1" t="s">
        <v>35</v>
      </c>
      <c r="P14" s="5" t="s">
        <v>22</v>
      </c>
      <c r="Q14" s="2">
        <f>sales[[#This Row],[Profit]]/sales[[#This Row],[Units Sold]]</f>
        <v>50</v>
      </c>
    </row>
    <row r="15" spans="1:17" x14ac:dyDescent="0.25">
      <c r="A15" t="s">
        <v>17</v>
      </c>
      <c r="B15" t="s">
        <v>23</v>
      </c>
      <c r="C15" s="1" t="s">
        <v>29</v>
      </c>
      <c r="D15" s="1" t="s">
        <v>20</v>
      </c>
      <c r="E15">
        <v>2146</v>
      </c>
      <c r="F15" s="2">
        <v>5</v>
      </c>
      <c r="G15" s="2">
        <v>7</v>
      </c>
      <c r="H15" s="2">
        <v>15022</v>
      </c>
      <c r="I15" s="2">
        <v>0</v>
      </c>
      <c r="J15" s="2">
        <v>15022</v>
      </c>
      <c r="K15" s="2">
        <v>10730</v>
      </c>
      <c r="L15" s="2">
        <v>4292</v>
      </c>
      <c r="M15" s="3">
        <v>41883</v>
      </c>
      <c r="N15" s="4">
        <v>9</v>
      </c>
      <c r="O15" s="1" t="s">
        <v>36</v>
      </c>
      <c r="P15" s="5" t="s">
        <v>22</v>
      </c>
      <c r="Q15" s="2">
        <f>sales[[#This Row],[Profit]]/sales[[#This Row],[Units Sold]]</f>
        <v>2</v>
      </c>
    </row>
    <row r="16" spans="1:17" x14ac:dyDescent="0.25">
      <c r="A16" t="s">
        <v>24</v>
      </c>
      <c r="B16" t="s">
        <v>37</v>
      </c>
      <c r="C16" s="1" t="s">
        <v>29</v>
      </c>
      <c r="D16" s="1" t="s">
        <v>20</v>
      </c>
      <c r="E16">
        <v>615</v>
      </c>
      <c r="F16" s="2">
        <v>5</v>
      </c>
      <c r="G16" s="2">
        <v>15</v>
      </c>
      <c r="H16" s="2">
        <v>9225</v>
      </c>
      <c r="I16" s="2">
        <v>0</v>
      </c>
      <c r="J16" s="2">
        <v>9225</v>
      </c>
      <c r="K16" s="2">
        <v>6150</v>
      </c>
      <c r="L16" s="2">
        <v>3075</v>
      </c>
      <c r="M16" s="3">
        <v>41974</v>
      </c>
      <c r="N16" s="4">
        <v>12</v>
      </c>
      <c r="O16" s="1" t="s">
        <v>28</v>
      </c>
      <c r="P16" s="5" t="s">
        <v>22</v>
      </c>
      <c r="Q16" s="2">
        <f>sales[[#This Row],[Profit]]/sales[[#This Row],[Units Sold]]</f>
        <v>5</v>
      </c>
    </row>
    <row r="17" spans="1:17" x14ac:dyDescent="0.25">
      <c r="A17" t="s">
        <v>17</v>
      </c>
      <c r="B17" t="s">
        <v>18</v>
      </c>
      <c r="C17" s="1" t="s">
        <v>38</v>
      </c>
      <c r="D17" s="1" t="s">
        <v>20</v>
      </c>
      <c r="E17">
        <v>292</v>
      </c>
      <c r="F17" s="2">
        <v>10</v>
      </c>
      <c r="G17" s="2">
        <v>20</v>
      </c>
      <c r="H17" s="2">
        <v>5840</v>
      </c>
      <c r="I17" s="2">
        <v>0</v>
      </c>
      <c r="J17" s="2">
        <v>5840</v>
      </c>
      <c r="K17" s="2">
        <v>2920</v>
      </c>
      <c r="L17" s="2">
        <v>2920</v>
      </c>
      <c r="M17" s="3">
        <v>41671</v>
      </c>
      <c r="N17" s="4">
        <v>2</v>
      </c>
      <c r="O17" s="1" t="s">
        <v>39</v>
      </c>
      <c r="P17" s="5" t="s">
        <v>22</v>
      </c>
      <c r="Q17" s="2">
        <f>sales[[#This Row],[Profit]]/sales[[#This Row],[Units Sold]]</f>
        <v>10</v>
      </c>
    </row>
    <row r="18" spans="1:17" x14ac:dyDescent="0.25">
      <c r="A18" t="s">
        <v>24</v>
      </c>
      <c r="B18" t="s">
        <v>27</v>
      </c>
      <c r="C18" s="1" t="s">
        <v>38</v>
      </c>
      <c r="D18" s="1" t="s">
        <v>20</v>
      </c>
      <c r="E18">
        <v>974</v>
      </c>
      <c r="F18" s="2">
        <v>10</v>
      </c>
      <c r="G18" s="2">
        <v>15</v>
      </c>
      <c r="H18" s="2">
        <v>14610</v>
      </c>
      <c r="I18" s="2">
        <v>0</v>
      </c>
      <c r="J18" s="2">
        <v>14610</v>
      </c>
      <c r="K18" s="2">
        <v>9740</v>
      </c>
      <c r="L18" s="2">
        <v>4870</v>
      </c>
      <c r="M18" s="3">
        <v>41671</v>
      </c>
      <c r="N18" s="4">
        <v>2</v>
      </c>
      <c r="O18" s="1" t="s">
        <v>39</v>
      </c>
      <c r="P18" s="5" t="s">
        <v>22</v>
      </c>
      <c r="Q18" s="2">
        <f>sales[[#This Row],[Profit]]/sales[[#This Row],[Units Sold]]</f>
        <v>5</v>
      </c>
    </row>
    <row r="19" spans="1:17" x14ac:dyDescent="0.25">
      <c r="A19" t="s">
        <v>31</v>
      </c>
      <c r="B19" t="s">
        <v>18</v>
      </c>
      <c r="C19" s="1" t="s">
        <v>38</v>
      </c>
      <c r="D19" s="1" t="s">
        <v>20</v>
      </c>
      <c r="E19">
        <v>2518</v>
      </c>
      <c r="F19" s="2">
        <v>10</v>
      </c>
      <c r="G19" s="2">
        <v>12</v>
      </c>
      <c r="H19" s="2">
        <v>30216</v>
      </c>
      <c r="I19" s="2">
        <v>0</v>
      </c>
      <c r="J19" s="2">
        <v>30216</v>
      </c>
      <c r="K19" s="2">
        <v>7554</v>
      </c>
      <c r="L19" s="2">
        <v>22662</v>
      </c>
      <c r="M19" s="3">
        <v>41791</v>
      </c>
      <c r="N19" s="4">
        <v>6</v>
      </c>
      <c r="O19" s="1" t="s">
        <v>26</v>
      </c>
      <c r="P19" s="5" t="s">
        <v>22</v>
      </c>
      <c r="Q19" s="2">
        <f>sales[[#This Row],[Profit]]/sales[[#This Row],[Units Sold]]</f>
        <v>9</v>
      </c>
    </row>
    <row r="20" spans="1:17" x14ac:dyDescent="0.25">
      <c r="A20" t="s">
        <v>17</v>
      </c>
      <c r="B20" t="s">
        <v>23</v>
      </c>
      <c r="C20" s="1" t="s">
        <v>38</v>
      </c>
      <c r="D20" s="1" t="s">
        <v>20</v>
      </c>
      <c r="E20">
        <v>1006</v>
      </c>
      <c r="F20" s="2">
        <v>10</v>
      </c>
      <c r="G20" s="2">
        <v>350</v>
      </c>
      <c r="H20" s="2">
        <v>352100</v>
      </c>
      <c r="I20" s="2">
        <v>0</v>
      </c>
      <c r="J20" s="2">
        <v>352100</v>
      </c>
      <c r="K20" s="2">
        <v>261560</v>
      </c>
      <c r="L20" s="2">
        <v>90540</v>
      </c>
      <c r="M20" s="3">
        <v>41791</v>
      </c>
      <c r="N20" s="4">
        <v>6</v>
      </c>
      <c r="O20" s="1" t="s">
        <v>26</v>
      </c>
      <c r="P20" s="5" t="s">
        <v>22</v>
      </c>
      <c r="Q20" s="2">
        <f>sales[[#This Row],[Profit]]/sales[[#This Row],[Units Sold]]</f>
        <v>90</v>
      </c>
    </row>
    <row r="21" spans="1:17" x14ac:dyDescent="0.25">
      <c r="A21" t="s">
        <v>31</v>
      </c>
      <c r="B21" t="s">
        <v>23</v>
      </c>
      <c r="C21" s="1" t="s">
        <v>38</v>
      </c>
      <c r="D21" s="1" t="s">
        <v>20</v>
      </c>
      <c r="E21">
        <v>367</v>
      </c>
      <c r="F21" s="2">
        <v>10</v>
      </c>
      <c r="G21" s="2">
        <v>12</v>
      </c>
      <c r="H21" s="2">
        <v>4404</v>
      </c>
      <c r="I21" s="2">
        <v>0</v>
      </c>
      <c r="J21" s="2">
        <v>4404</v>
      </c>
      <c r="K21" s="2">
        <v>1101</v>
      </c>
      <c r="L21" s="2">
        <v>3303</v>
      </c>
      <c r="M21" s="3">
        <v>41821</v>
      </c>
      <c r="N21" s="4">
        <v>7</v>
      </c>
      <c r="O21" s="1" t="s">
        <v>33</v>
      </c>
      <c r="P21" s="5" t="s">
        <v>22</v>
      </c>
      <c r="Q21" s="2">
        <f>sales[[#This Row],[Profit]]/sales[[#This Row],[Units Sold]]</f>
        <v>9</v>
      </c>
    </row>
    <row r="22" spans="1:17" x14ac:dyDescent="0.25">
      <c r="A22" t="s">
        <v>17</v>
      </c>
      <c r="B22" t="s">
        <v>27</v>
      </c>
      <c r="C22" s="1" t="s">
        <v>38</v>
      </c>
      <c r="D22" s="1" t="s">
        <v>20</v>
      </c>
      <c r="E22">
        <v>883</v>
      </c>
      <c r="F22" s="2">
        <v>10</v>
      </c>
      <c r="G22" s="2">
        <v>7</v>
      </c>
      <c r="H22" s="2">
        <v>6181</v>
      </c>
      <c r="I22" s="2">
        <v>0</v>
      </c>
      <c r="J22" s="2">
        <v>6181</v>
      </c>
      <c r="K22" s="2">
        <v>4415</v>
      </c>
      <c r="L22" s="2">
        <v>1766</v>
      </c>
      <c r="M22" s="3">
        <v>41852</v>
      </c>
      <c r="N22" s="4">
        <v>8</v>
      </c>
      <c r="O22" s="1" t="s">
        <v>35</v>
      </c>
      <c r="P22" s="5" t="s">
        <v>22</v>
      </c>
      <c r="Q22" s="2">
        <f>sales[[#This Row],[Profit]]/sales[[#This Row],[Units Sold]]</f>
        <v>2</v>
      </c>
    </row>
    <row r="23" spans="1:17" x14ac:dyDescent="0.25">
      <c r="A23" t="s">
        <v>24</v>
      </c>
      <c r="B23" t="s">
        <v>27</v>
      </c>
      <c r="C23" s="1" t="s">
        <v>38</v>
      </c>
      <c r="D23" s="1" t="s">
        <v>20</v>
      </c>
      <c r="E23">
        <v>2472</v>
      </c>
      <c r="F23" s="2">
        <v>10</v>
      </c>
      <c r="G23" s="2">
        <v>15</v>
      </c>
      <c r="H23" s="2">
        <v>37080</v>
      </c>
      <c r="I23" s="2">
        <v>0</v>
      </c>
      <c r="J23" s="2">
        <v>37080</v>
      </c>
      <c r="K23" s="2">
        <v>24720</v>
      </c>
      <c r="L23" s="2">
        <v>12360</v>
      </c>
      <c r="M23" s="3">
        <v>41883</v>
      </c>
      <c r="N23" s="4">
        <v>9</v>
      </c>
      <c r="O23" s="1" t="s">
        <v>36</v>
      </c>
      <c r="P23" s="5" t="s">
        <v>22</v>
      </c>
      <c r="Q23" s="2">
        <f>sales[[#This Row],[Profit]]/sales[[#This Row],[Units Sold]]</f>
        <v>5</v>
      </c>
    </row>
    <row r="24" spans="1:17" x14ac:dyDescent="0.25">
      <c r="A24" t="s">
        <v>17</v>
      </c>
      <c r="B24" t="s">
        <v>37</v>
      </c>
      <c r="C24" s="1" t="s">
        <v>38</v>
      </c>
      <c r="D24" s="1" t="s">
        <v>20</v>
      </c>
      <c r="E24">
        <v>1143</v>
      </c>
      <c r="F24" s="2">
        <v>10</v>
      </c>
      <c r="G24" s="2">
        <v>7</v>
      </c>
      <c r="H24" s="2">
        <v>8001</v>
      </c>
      <c r="I24" s="2">
        <v>0</v>
      </c>
      <c r="J24" s="2">
        <v>8001</v>
      </c>
      <c r="K24" s="2">
        <v>5715</v>
      </c>
      <c r="L24" s="2">
        <v>2286</v>
      </c>
      <c r="M24" s="3">
        <v>41913</v>
      </c>
      <c r="N24" s="4">
        <v>10</v>
      </c>
      <c r="O24" s="1" t="s">
        <v>40</v>
      </c>
      <c r="P24" s="5" t="s">
        <v>22</v>
      </c>
      <c r="Q24" s="2">
        <f>sales[[#This Row],[Profit]]/sales[[#This Row],[Units Sold]]</f>
        <v>2</v>
      </c>
    </row>
    <row r="25" spans="1:17" x14ac:dyDescent="0.25">
      <c r="A25" t="s">
        <v>17</v>
      </c>
      <c r="B25" t="s">
        <v>18</v>
      </c>
      <c r="C25" s="1" t="s">
        <v>38</v>
      </c>
      <c r="D25" s="1" t="s">
        <v>20</v>
      </c>
      <c r="E25">
        <v>1817</v>
      </c>
      <c r="F25" s="2">
        <v>10</v>
      </c>
      <c r="G25" s="2">
        <v>20</v>
      </c>
      <c r="H25" s="2">
        <v>36340</v>
      </c>
      <c r="I25" s="2">
        <v>0</v>
      </c>
      <c r="J25" s="2">
        <v>36340</v>
      </c>
      <c r="K25" s="2">
        <v>18170</v>
      </c>
      <c r="L25" s="2">
        <v>18170</v>
      </c>
      <c r="M25" s="3">
        <v>41974</v>
      </c>
      <c r="N25" s="4">
        <v>12</v>
      </c>
      <c r="O25" s="1" t="s">
        <v>28</v>
      </c>
      <c r="P25" s="5" t="s">
        <v>22</v>
      </c>
      <c r="Q25" s="2">
        <f>sales[[#This Row],[Profit]]/sales[[#This Row],[Units Sold]]</f>
        <v>10</v>
      </c>
    </row>
    <row r="26" spans="1:17" x14ac:dyDescent="0.25">
      <c r="A26" t="s">
        <v>17</v>
      </c>
      <c r="B26" t="s">
        <v>23</v>
      </c>
      <c r="C26" s="1" t="s">
        <v>38</v>
      </c>
      <c r="D26" s="1" t="s">
        <v>20</v>
      </c>
      <c r="E26">
        <v>1513</v>
      </c>
      <c r="F26" s="2">
        <v>10</v>
      </c>
      <c r="G26" s="2">
        <v>350</v>
      </c>
      <c r="H26" s="2">
        <v>529550</v>
      </c>
      <c r="I26" s="2">
        <v>0</v>
      </c>
      <c r="J26" s="2">
        <v>529550</v>
      </c>
      <c r="K26" s="2">
        <v>393380</v>
      </c>
      <c r="L26" s="2">
        <v>136170</v>
      </c>
      <c r="M26" s="3">
        <v>41974</v>
      </c>
      <c r="N26" s="4">
        <v>12</v>
      </c>
      <c r="O26" s="1" t="s">
        <v>28</v>
      </c>
      <c r="P26" s="5" t="s">
        <v>22</v>
      </c>
      <c r="Q26" s="2">
        <f>sales[[#This Row],[Profit]]/sales[[#This Row],[Units Sold]]</f>
        <v>90</v>
      </c>
    </row>
    <row r="27" spans="1:17" x14ac:dyDescent="0.25">
      <c r="A27" t="s">
        <v>17</v>
      </c>
      <c r="B27" t="s">
        <v>25</v>
      </c>
      <c r="C27" s="1" t="s">
        <v>41</v>
      </c>
      <c r="D27" s="1" t="s">
        <v>20</v>
      </c>
      <c r="E27">
        <v>2750</v>
      </c>
      <c r="F27" s="2">
        <v>260</v>
      </c>
      <c r="G27" s="2">
        <v>350</v>
      </c>
      <c r="H27" s="2">
        <v>962500</v>
      </c>
      <c r="I27" s="2">
        <v>0</v>
      </c>
      <c r="J27" s="2">
        <v>962500</v>
      </c>
      <c r="K27" s="2">
        <v>715000</v>
      </c>
      <c r="L27" s="2">
        <v>247500</v>
      </c>
      <c r="M27" s="3">
        <v>41671</v>
      </c>
      <c r="N27" s="4">
        <v>2</v>
      </c>
      <c r="O27" s="1" t="s">
        <v>39</v>
      </c>
      <c r="P27" s="5" t="s">
        <v>22</v>
      </c>
      <c r="Q27" s="2">
        <f>sales[[#This Row],[Profit]]/sales[[#This Row],[Units Sold]]</f>
        <v>90</v>
      </c>
    </row>
    <row r="28" spans="1:17" x14ac:dyDescent="0.25">
      <c r="A28" t="s">
        <v>31</v>
      </c>
      <c r="B28" t="s">
        <v>37</v>
      </c>
      <c r="C28" s="1" t="s">
        <v>41</v>
      </c>
      <c r="D28" s="1" t="s">
        <v>20</v>
      </c>
      <c r="E28">
        <v>1953</v>
      </c>
      <c r="F28" s="2">
        <v>260</v>
      </c>
      <c r="G28" s="2">
        <v>12</v>
      </c>
      <c r="H28" s="2">
        <v>23436</v>
      </c>
      <c r="I28" s="2">
        <v>0</v>
      </c>
      <c r="J28" s="2">
        <v>23436</v>
      </c>
      <c r="K28" s="2">
        <v>5859</v>
      </c>
      <c r="L28" s="2">
        <v>17577</v>
      </c>
      <c r="M28" s="3">
        <v>41730</v>
      </c>
      <c r="N28" s="4">
        <v>4</v>
      </c>
      <c r="O28" s="1" t="s">
        <v>42</v>
      </c>
      <c r="P28" s="5" t="s">
        <v>22</v>
      </c>
      <c r="Q28" s="2">
        <f>sales[[#This Row],[Profit]]/sales[[#This Row],[Units Sold]]</f>
        <v>9</v>
      </c>
    </row>
    <row r="29" spans="1:17" x14ac:dyDescent="0.25">
      <c r="A29" t="s">
        <v>32</v>
      </c>
      <c r="B29" t="s">
        <v>23</v>
      </c>
      <c r="C29" s="1" t="s">
        <v>41</v>
      </c>
      <c r="D29" s="1" t="s">
        <v>20</v>
      </c>
      <c r="E29">
        <v>4219.5</v>
      </c>
      <c r="F29" s="2">
        <v>260</v>
      </c>
      <c r="G29" s="2">
        <v>125</v>
      </c>
      <c r="H29" s="2">
        <v>527437.5</v>
      </c>
      <c r="I29" s="2">
        <v>0</v>
      </c>
      <c r="J29" s="2">
        <v>527437.5</v>
      </c>
      <c r="K29" s="2">
        <v>506340</v>
      </c>
      <c r="L29" s="2">
        <v>21097.5</v>
      </c>
      <c r="M29" s="3">
        <v>41730</v>
      </c>
      <c r="N29" s="4">
        <v>4</v>
      </c>
      <c r="O29" s="1" t="s">
        <v>42</v>
      </c>
      <c r="P29" s="5" t="s">
        <v>22</v>
      </c>
      <c r="Q29" s="2">
        <f>sales[[#This Row],[Profit]]/sales[[#This Row],[Units Sold]]</f>
        <v>5</v>
      </c>
    </row>
    <row r="30" spans="1:17" x14ac:dyDescent="0.25">
      <c r="A30" t="s">
        <v>17</v>
      </c>
      <c r="B30" t="s">
        <v>25</v>
      </c>
      <c r="C30" s="1" t="s">
        <v>41</v>
      </c>
      <c r="D30" s="1" t="s">
        <v>20</v>
      </c>
      <c r="E30">
        <v>1899</v>
      </c>
      <c r="F30" s="2">
        <v>260</v>
      </c>
      <c r="G30" s="2">
        <v>20</v>
      </c>
      <c r="H30" s="2">
        <v>37980</v>
      </c>
      <c r="I30" s="2">
        <v>0</v>
      </c>
      <c r="J30" s="2">
        <v>37980</v>
      </c>
      <c r="K30" s="2">
        <v>18990</v>
      </c>
      <c r="L30" s="2">
        <v>18990</v>
      </c>
      <c r="M30" s="3">
        <v>41791</v>
      </c>
      <c r="N30" s="4">
        <v>6</v>
      </c>
      <c r="O30" s="1" t="s">
        <v>26</v>
      </c>
      <c r="P30" s="5" t="s">
        <v>22</v>
      </c>
      <c r="Q30" s="2">
        <f>sales[[#This Row],[Profit]]/sales[[#This Row],[Units Sold]]</f>
        <v>10</v>
      </c>
    </row>
    <row r="31" spans="1:17" x14ac:dyDescent="0.25">
      <c r="A31" t="s">
        <v>17</v>
      </c>
      <c r="B31" t="s">
        <v>23</v>
      </c>
      <c r="C31" s="1" t="s">
        <v>41</v>
      </c>
      <c r="D31" s="1" t="s">
        <v>20</v>
      </c>
      <c r="E31">
        <v>1686</v>
      </c>
      <c r="F31" s="2">
        <v>260</v>
      </c>
      <c r="G31" s="2">
        <v>7</v>
      </c>
      <c r="H31" s="2">
        <v>11802</v>
      </c>
      <c r="I31" s="2">
        <v>0</v>
      </c>
      <c r="J31" s="2">
        <v>11802</v>
      </c>
      <c r="K31" s="2">
        <v>8430</v>
      </c>
      <c r="L31" s="2">
        <v>3372</v>
      </c>
      <c r="M31" s="3">
        <v>41821</v>
      </c>
      <c r="N31" s="4">
        <v>7</v>
      </c>
      <c r="O31" s="1" t="s">
        <v>33</v>
      </c>
      <c r="P31" s="5" t="s">
        <v>22</v>
      </c>
      <c r="Q31" s="2">
        <f>sales[[#This Row],[Profit]]/sales[[#This Row],[Units Sold]]</f>
        <v>2</v>
      </c>
    </row>
    <row r="32" spans="1:17" x14ac:dyDescent="0.25">
      <c r="A32" t="s">
        <v>31</v>
      </c>
      <c r="B32" t="s">
        <v>37</v>
      </c>
      <c r="C32" s="1" t="s">
        <v>41</v>
      </c>
      <c r="D32" s="1" t="s">
        <v>20</v>
      </c>
      <c r="E32">
        <v>2141</v>
      </c>
      <c r="F32" s="2">
        <v>260</v>
      </c>
      <c r="G32" s="2">
        <v>12</v>
      </c>
      <c r="H32" s="2">
        <v>25692</v>
      </c>
      <c r="I32" s="2">
        <v>0</v>
      </c>
      <c r="J32" s="2">
        <v>25692</v>
      </c>
      <c r="K32" s="2">
        <v>6423</v>
      </c>
      <c r="L32" s="2">
        <v>19269</v>
      </c>
      <c r="M32" s="3">
        <v>41852</v>
      </c>
      <c r="N32" s="4">
        <v>8</v>
      </c>
      <c r="O32" s="1" t="s">
        <v>35</v>
      </c>
      <c r="P32" s="5" t="s">
        <v>22</v>
      </c>
      <c r="Q32" s="2">
        <f>sales[[#This Row],[Profit]]/sales[[#This Row],[Units Sold]]</f>
        <v>9</v>
      </c>
    </row>
    <row r="33" spans="1:17" x14ac:dyDescent="0.25">
      <c r="A33" t="s">
        <v>17</v>
      </c>
      <c r="B33" t="s">
        <v>37</v>
      </c>
      <c r="C33" s="1" t="s">
        <v>41</v>
      </c>
      <c r="D33" s="1" t="s">
        <v>20</v>
      </c>
      <c r="E33">
        <v>1143</v>
      </c>
      <c r="F33" s="2">
        <v>260</v>
      </c>
      <c r="G33" s="2">
        <v>7</v>
      </c>
      <c r="H33" s="2">
        <v>8001</v>
      </c>
      <c r="I33" s="2">
        <v>0</v>
      </c>
      <c r="J33" s="2">
        <v>8001</v>
      </c>
      <c r="K33" s="2">
        <v>5715</v>
      </c>
      <c r="L33" s="2">
        <v>2286</v>
      </c>
      <c r="M33" s="3">
        <v>41913</v>
      </c>
      <c r="N33" s="4">
        <v>10</v>
      </c>
      <c r="O33" s="1" t="s">
        <v>40</v>
      </c>
      <c r="P33" s="5" t="s">
        <v>22</v>
      </c>
      <c r="Q33" s="2">
        <f>sales[[#This Row],[Profit]]/sales[[#This Row],[Units Sold]]</f>
        <v>2</v>
      </c>
    </row>
    <row r="34" spans="1:17" x14ac:dyDescent="0.25">
      <c r="A34" t="s">
        <v>24</v>
      </c>
      <c r="B34" t="s">
        <v>37</v>
      </c>
      <c r="C34" s="1" t="s">
        <v>41</v>
      </c>
      <c r="D34" s="1" t="s">
        <v>20</v>
      </c>
      <c r="E34">
        <v>615</v>
      </c>
      <c r="F34" s="2">
        <v>260</v>
      </c>
      <c r="G34" s="2">
        <v>15</v>
      </c>
      <c r="H34" s="2">
        <v>9225</v>
      </c>
      <c r="I34" s="2">
        <v>0</v>
      </c>
      <c r="J34" s="2">
        <v>9225</v>
      </c>
      <c r="K34" s="2">
        <v>6150</v>
      </c>
      <c r="L34" s="2">
        <v>3075</v>
      </c>
      <c r="M34" s="3">
        <v>41974</v>
      </c>
      <c r="N34" s="4">
        <v>12</v>
      </c>
      <c r="O34" s="1" t="s">
        <v>28</v>
      </c>
      <c r="P34" s="5" t="s">
        <v>22</v>
      </c>
      <c r="Q34" s="2">
        <f>sales[[#This Row],[Profit]]/sales[[#This Row],[Units Sold]]</f>
        <v>5</v>
      </c>
    </row>
    <row r="35" spans="1:17" x14ac:dyDescent="0.25">
      <c r="A35" t="s">
        <v>17</v>
      </c>
      <c r="B35" t="s">
        <v>25</v>
      </c>
      <c r="C35" s="1" t="s">
        <v>38</v>
      </c>
      <c r="D35" s="1" t="s">
        <v>43</v>
      </c>
      <c r="E35">
        <v>3945</v>
      </c>
      <c r="F35" s="2">
        <v>10</v>
      </c>
      <c r="G35" s="2">
        <v>7</v>
      </c>
      <c r="H35" s="2">
        <v>27615</v>
      </c>
      <c r="I35" s="2">
        <v>276.14999999999998</v>
      </c>
      <c r="J35" s="2">
        <v>27338.850000000002</v>
      </c>
      <c r="K35" s="2">
        <v>19725</v>
      </c>
      <c r="L35" s="2">
        <v>7613.8500000000022</v>
      </c>
      <c r="M35" s="3">
        <v>41640</v>
      </c>
      <c r="N35" s="4">
        <v>1</v>
      </c>
      <c r="O35" s="1" t="s">
        <v>21</v>
      </c>
      <c r="P35" s="5" t="s">
        <v>22</v>
      </c>
      <c r="Q35" s="2">
        <f>sales[[#This Row],[Profit]]/sales[[#This Row],[Units Sold]]</f>
        <v>1.9300000000000006</v>
      </c>
    </row>
    <row r="36" spans="1:17" x14ac:dyDescent="0.25">
      <c r="A36" t="s">
        <v>24</v>
      </c>
      <c r="B36" t="s">
        <v>25</v>
      </c>
      <c r="C36" s="1" t="s">
        <v>38</v>
      </c>
      <c r="D36" s="1" t="s">
        <v>43</v>
      </c>
      <c r="E36">
        <v>2296</v>
      </c>
      <c r="F36" s="2">
        <v>10</v>
      </c>
      <c r="G36" s="2">
        <v>15</v>
      </c>
      <c r="H36" s="2">
        <v>34440</v>
      </c>
      <c r="I36" s="2">
        <v>344.4</v>
      </c>
      <c r="J36" s="2">
        <v>34095.599999999999</v>
      </c>
      <c r="K36" s="2">
        <v>22960</v>
      </c>
      <c r="L36" s="2">
        <v>11135.599999999999</v>
      </c>
      <c r="M36" s="3">
        <v>41671</v>
      </c>
      <c r="N36" s="4">
        <v>2</v>
      </c>
      <c r="O36" s="1" t="s">
        <v>39</v>
      </c>
      <c r="P36" s="5" t="s">
        <v>22</v>
      </c>
      <c r="Q36" s="2">
        <f>sales[[#This Row],[Profit]]/sales[[#This Row],[Units Sold]]</f>
        <v>4.8499999999999996</v>
      </c>
    </row>
    <row r="37" spans="1:17" x14ac:dyDescent="0.25">
      <c r="A37" t="s">
        <v>17</v>
      </c>
      <c r="B37" t="s">
        <v>25</v>
      </c>
      <c r="C37" s="1" t="s">
        <v>38</v>
      </c>
      <c r="D37" s="1" t="s">
        <v>43</v>
      </c>
      <c r="E37">
        <v>1030</v>
      </c>
      <c r="F37" s="2">
        <v>10</v>
      </c>
      <c r="G37" s="2">
        <v>7</v>
      </c>
      <c r="H37" s="2">
        <v>7210</v>
      </c>
      <c r="I37" s="2">
        <v>72.099999999999994</v>
      </c>
      <c r="J37" s="2">
        <v>7137.9</v>
      </c>
      <c r="K37" s="2">
        <v>5150</v>
      </c>
      <c r="L37" s="2">
        <v>1987.8999999999996</v>
      </c>
      <c r="M37" s="3">
        <v>41760</v>
      </c>
      <c r="N37" s="4">
        <v>5</v>
      </c>
      <c r="O37" s="1" t="s">
        <v>44</v>
      </c>
      <c r="P37" s="5" t="s">
        <v>22</v>
      </c>
      <c r="Q37" s="2">
        <f>sales[[#This Row],[Profit]]/sales[[#This Row],[Units Sold]]</f>
        <v>1.9299999999999997</v>
      </c>
    </row>
    <row r="38" spans="1:17" x14ac:dyDescent="0.25">
      <c r="A38" t="s">
        <v>31</v>
      </c>
      <c r="B38" t="s">
        <v>37</v>
      </c>
      <c r="C38" s="1" t="s">
        <v>19</v>
      </c>
      <c r="D38" s="1" t="s">
        <v>43</v>
      </c>
      <c r="E38">
        <v>1858</v>
      </c>
      <c r="F38" s="2">
        <v>3</v>
      </c>
      <c r="G38" s="2">
        <v>12</v>
      </c>
      <c r="H38" s="2">
        <v>22296</v>
      </c>
      <c r="I38" s="2">
        <v>222.96</v>
      </c>
      <c r="J38" s="2">
        <v>22073.040000000001</v>
      </c>
      <c r="K38" s="2">
        <v>5574</v>
      </c>
      <c r="L38" s="2">
        <v>16499.04</v>
      </c>
      <c r="M38" s="3">
        <v>41671</v>
      </c>
      <c r="N38" s="4">
        <v>2</v>
      </c>
      <c r="O38" s="1" t="s">
        <v>39</v>
      </c>
      <c r="P38" s="5" t="s">
        <v>22</v>
      </c>
      <c r="Q38" s="2">
        <f>sales[[#This Row],[Profit]]/sales[[#This Row],[Units Sold]]</f>
        <v>8.8800000000000008</v>
      </c>
    </row>
    <row r="39" spans="1:17" x14ac:dyDescent="0.25">
      <c r="A39" t="s">
        <v>17</v>
      </c>
      <c r="B39" t="s">
        <v>27</v>
      </c>
      <c r="C39" s="1" t="s">
        <v>19</v>
      </c>
      <c r="D39" s="1" t="s">
        <v>43</v>
      </c>
      <c r="E39">
        <v>1210</v>
      </c>
      <c r="F39" s="2">
        <v>3</v>
      </c>
      <c r="G39" s="2">
        <v>350</v>
      </c>
      <c r="H39" s="2">
        <v>423500</v>
      </c>
      <c r="I39" s="2">
        <v>4235</v>
      </c>
      <c r="J39" s="2">
        <v>419265</v>
      </c>
      <c r="K39" s="2">
        <v>314600</v>
      </c>
      <c r="L39" s="2">
        <v>104665</v>
      </c>
      <c r="M39" s="3">
        <v>41699</v>
      </c>
      <c r="N39" s="4">
        <v>3</v>
      </c>
      <c r="O39" s="1" t="s">
        <v>30</v>
      </c>
      <c r="P39" s="5" t="s">
        <v>22</v>
      </c>
      <c r="Q39" s="2">
        <f>sales[[#This Row],[Profit]]/sales[[#This Row],[Units Sold]]</f>
        <v>86.5</v>
      </c>
    </row>
    <row r="40" spans="1:17" x14ac:dyDescent="0.25">
      <c r="A40" t="s">
        <v>17</v>
      </c>
      <c r="B40" t="s">
        <v>37</v>
      </c>
      <c r="C40" s="1" t="s">
        <v>19</v>
      </c>
      <c r="D40" s="1" t="s">
        <v>43</v>
      </c>
      <c r="E40">
        <v>2529</v>
      </c>
      <c r="F40" s="2">
        <v>3</v>
      </c>
      <c r="G40" s="2">
        <v>7</v>
      </c>
      <c r="H40" s="2">
        <v>17703</v>
      </c>
      <c r="I40" s="2">
        <v>177.03</v>
      </c>
      <c r="J40" s="2">
        <v>17525.97</v>
      </c>
      <c r="K40" s="2">
        <v>12645</v>
      </c>
      <c r="L40" s="2">
        <v>4880.9699999999993</v>
      </c>
      <c r="M40" s="3">
        <v>41821</v>
      </c>
      <c r="N40" s="4">
        <v>7</v>
      </c>
      <c r="O40" s="1" t="s">
        <v>33</v>
      </c>
      <c r="P40" s="5" t="s">
        <v>22</v>
      </c>
      <c r="Q40" s="2">
        <f>sales[[#This Row],[Profit]]/sales[[#This Row],[Units Sold]]</f>
        <v>1.9299999999999997</v>
      </c>
    </row>
    <row r="41" spans="1:17" x14ac:dyDescent="0.25">
      <c r="A41" t="s">
        <v>31</v>
      </c>
      <c r="B41" t="s">
        <v>18</v>
      </c>
      <c r="C41" s="1" t="s">
        <v>19</v>
      </c>
      <c r="D41" s="1" t="s">
        <v>43</v>
      </c>
      <c r="E41">
        <v>1445</v>
      </c>
      <c r="F41" s="2">
        <v>3</v>
      </c>
      <c r="G41" s="2">
        <v>12</v>
      </c>
      <c r="H41" s="2">
        <v>17340</v>
      </c>
      <c r="I41" s="2">
        <v>173.4</v>
      </c>
      <c r="J41" s="2">
        <v>17166.599999999999</v>
      </c>
      <c r="K41" s="2">
        <v>4335</v>
      </c>
      <c r="L41" s="2">
        <v>12831.599999999999</v>
      </c>
      <c r="M41" s="3">
        <v>41883</v>
      </c>
      <c r="N41" s="4">
        <v>9</v>
      </c>
      <c r="O41" s="1" t="s">
        <v>36</v>
      </c>
      <c r="P41" s="5" t="s">
        <v>22</v>
      </c>
      <c r="Q41" s="2">
        <f>sales[[#This Row],[Profit]]/sales[[#This Row],[Units Sold]]</f>
        <v>8.879999999999999</v>
      </c>
    </row>
    <row r="42" spans="1:17" x14ac:dyDescent="0.25">
      <c r="A42" t="s">
        <v>31</v>
      </c>
      <c r="B42" t="s">
        <v>25</v>
      </c>
      <c r="C42" s="1" t="s">
        <v>19</v>
      </c>
      <c r="D42" s="1" t="s">
        <v>43</v>
      </c>
      <c r="E42">
        <v>2671</v>
      </c>
      <c r="F42" s="2">
        <v>3</v>
      </c>
      <c r="G42" s="2">
        <v>12</v>
      </c>
      <c r="H42" s="2">
        <v>32052</v>
      </c>
      <c r="I42" s="2">
        <v>320.52</v>
      </c>
      <c r="J42" s="2">
        <v>31731.48</v>
      </c>
      <c r="K42" s="2">
        <v>8013</v>
      </c>
      <c r="L42" s="2">
        <v>23718.48</v>
      </c>
      <c r="M42" s="3">
        <v>41883</v>
      </c>
      <c r="N42" s="4">
        <v>9</v>
      </c>
      <c r="O42" s="1" t="s">
        <v>36</v>
      </c>
      <c r="P42" s="5" t="s">
        <v>22</v>
      </c>
      <c r="Q42" s="2">
        <f>sales[[#This Row],[Profit]]/sales[[#This Row],[Units Sold]]</f>
        <v>8.879999999999999</v>
      </c>
    </row>
    <row r="43" spans="1:17" x14ac:dyDescent="0.25">
      <c r="A43" t="s">
        <v>17</v>
      </c>
      <c r="B43" t="s">
        <v>27</v>
      </c>
      <c r="C43" s="1" t="s">
        <v>19</v>
      </c>
      <c r="D43" s="1" t="s">
        <v>43</v>
      </c>
      <c r="E43">
        <v>1397</v>
      </c>
      <c r="F43" s="2">
        <v>3</v>
      </c>
      <c r="G43" s="2">
        <v>350</v>
      </c>
      <c r="H43" s="2">
        <v>488950</v>
      </c>
      <c r="I43" s="2">
        <v>4889.5</v>
      </c>
      <c r="J43" s="2">
        <v>484060.5</v>
      </c>
      <c r="K43" s="2">
        <v>363220</v>
      </c>
      <c r="L43" s="2">
        <v>120840.5</v>
      </c>
      <c r="M43" s="3">
        <v>41913</v>
      </c>
      <c r="N43" s="4">
        <v>10</v>
      </c>
      <c r="O43" s="1" t="s">
        <v>40</v>
      </c>
      <c r="P43" s="5" t="s">
        <v>22</v>
      </c>
      <c r="Q43" s="2">
        <f>sales[[#This Row],[Profit]]/sales[[#This Row],[Units Sold]]</f>
        <v>86.5</v>
      </c>
    </row>
    <row r="44" spans="1:17" x14ac:dyDescent="0.25">
      <c r="A44" t="s">
        <v>17</v>
      </c>
      <c r="B44" t="s">
        <v>25</v>
      </c>
      <c r="C44" s="1" t="s">
        <v>19</v>
      </c>
      <c r="D44" s="1" t="s">
        <v>43</v>
      </c>
      <c r="E44">
        <v>2155</v>
      </c>
      <c r="F44" s="2">
        <v>3</v>
      </c>
      <c r="G44" s="2">
        <v>350</v>
      </c>
      <c r="H44" s="2">
        <v>754250</v>
      </c>
      <c r="I44" s="2">
        <v>7542.5</v>
      </c>
      <c r="J44" s="2">
        <v>746707.5</v>
      </c>
      <c r="K44" s="2">
        <v>560300</v>
      </c>
      <c r="L44" s="2">
        <v>186407.5</v>
      </c>
      <c r="M44" s="3">
        <v>41974</v>
      </c>
      <c r="N44" s="4">
        <v>12</v>
      </c>
      <c r="O44" s="1" t="s">
        <v>28</v>
      </c>
      <c r="P44" s="5" t="s">
        <v>22</v>
      </c>
      <c r="Q44" s="2">
        <f>sales[[#This Row],[Profit]]/sales[[#This Row],[Units Sold]]</f>
        <v>86.5</v>
      </c>
    </row>
    <row r="45" spans="1:17" x14ac:dyDescent="0.25">
      <c r="A45" t="s">
        <v>24</v>
      </c>
      <c r="B45" t="s">
        <v>27</v>
      </c>
      <c r="C45" s="1" t="s">
        <v>29</v>
      </c>
      <c r="D45" s="1" t="s">
        <v>43</v>
      </c>
      <c r="E45">
        <v>2214</v>
      </c>
      <c r="F45" s="2">
        <v>5</v>
      </c>
      <c r="G45" s="2">
        <v>15</v>
      </c>
      <c r="H45" s="2">
        <v>33210</v>
      </c>
      <c r="I45" s="2">
        <v>332.1</v>
      </c>
      <c r="J45" s="2">
        <v>32877.9</v>
      </c>
      <c r="K45" s="2">
        <v>22140</v>
      </c>
      <c r="L45" s="2">
        <v>10737.900000000001</v>
      </c>
      <c r="M45" s="3">
        <v>41699</v>
      </c>
      <c r="N45" s="4">
        <v>3</v>
      </c>
      <c r="O45" s="1" t="s">
        <v>30</v>
      </c>
      <c r="P45" s="5" t="s">
        <v>22</v>
      </c>
      <c r="Q45" s="2">
        <f>sales[[#This Row],[Profit]]/sales[[#This Row],[Units Sold]]</f>
        <v>4.8500000000000005</v>
      </c>
    </row>
    <row r="46" spans="1:17" x14ac:dyDescent="0.25">
      <c r="A46" t="s">
        <v>34</v>
      </c>
      <c r="B46" t="s">
        <v>37</v>
      </c>
      <c r="C46" s="1" t="s">
        <v>29</v>
      </c>
      <c r="D46" s="1" t="s">
        <v>43</v>
      </c>
      <c r="E46">
        <v>2301</v>
      </c>
      <c r="F46" s="2">
        <v>5</v>
      </c>
      <c r="G46" s="2">
        <v>300</v>
      </c>
      <c r="H46" s="2">
        <v>690300</v>
      </c>
      <c r="I46" s="2">
        <v>6903</v>
      </c>
      <c r="J46" s="2">
        <v>683397</v>
      </c>
      <c r="K46" s="2">
        <v>575250</v>
      </c>
      <c r="L46" s="2">
        <v>108147</v>
      </c>
      <c r="M46" s="3">
        <v>41730</v>
      </c>
      <c r="N46" s="4">
        <v>4</v>
      </c>
      <c r="O46" s="1" t="s">
        <v>42</v>
      </c>
      <c r="P46" s="5" t="s">
        <v>22</v>
      </c>
      <c r="Q46" s="2">
        <f>sales[[#This Row],[Profit]]/sales[[#This Row],[Units Sold]]</f>
        <v>47</v>
      </c>
    </row>
    <row r="47" spans="1:17" x14ac:dyDescent="0.25">
      <c r="A47" t="s">
        <v>17</v>
      </c>
      <c r="B47" t="s">
        <v>25</v>
      </c>
      <c r="C47" s="1" t="s">
        <v>29</v>
      </c>
      <c r="D47" s="1" t="s">
        <v>43</v>
      </c>
      <c r="E47">
        <v>1375.5</v>
      </c>
      <c r="F47" s="2">
        <v>5</v>
      </c>
      <c r="G47" s="2">
        <v>20</v>
      </c>
      <c r="H47" s="2">
        <v>27510</v>
      </c>
      <c r="I47" s="2">
        <v>275.10000000000002</v>
      </c>
      <c r="J47" s="2">
        <v>27234.899999999998</v>
      </c>
      <c r="K47" s="2">
        <v>13755</v>
      </c>
      <c r="L47" s="2">
        <v>13479.899999999998</v>
      </c>
      <c r="M47" s="3">
        <v>41821</v>
      </c>
      <c r="N47" s="4">
        <v>7</v>
      </c>
      <c r="O47" s="1" t="s">
        <v>33</v>
      </c>
      <c r="P47" s="5" t="s">
        <v>22</v>
      </c>
      <c r="Q47" s="2">
        <f>sales[[#This Row],[Profit]]/sales[[#This Row],[Units Sold]]</f>
        <v>9.7999999999999989</v>
      </c>
    </row>
    <row r="48" spans="1:17" x14ac:dyDescent="0.25">
      <c r="A48" t="s">
        <v>17</v>
      </c>
      <c r="B48" t="s">
        <v>18</v>
      </c>
      <c r="C48" s="1" t="s">
        <v>29</v>
      </c>
      <c r="D48" s="1" t="s">
        <v>43</v>
      </c>
      <c r="E48">
        <v>1830</v>
      </c>
      <c r="F48" s="2">
        <v>5</v>
      </c>
      <c r="G48" s="2">
        <v>7</v>
      </c>
      <c r="H48" s="2">
        <v>12810</v>
      </c>
      <c r="I48" s="2">
        <v>128.1</v>
      </c>
      <c r="J48" s="2">
        <v>12681.9</v>
      </c>
      <c r="K48" s="2">
        <v>9150</v>
      </c>
      <c r="L48" s="2">
        <v>3531.8999999999996</v>
      </c>
      <c r="M48" s="3">
        <v>41852</v>
      </c>
      <c r="N48" s="4">
        <v>8</v>
      </c>
      <c r="O48" s="1" t="s">
        <v>35</v>
      </c>
      <c r="P48" s="5" t="s">
        <v>22</v>
      </c>
      <c r="Q48" s="2">
        <f>sales[[#This Row],[Profit]]/sales[[#This Row],[Units Sold]]</f>
        <v>1.9299999999999997</v>
      </c>
    </row>
    <row r="49" spans="1:17" x14ac:dyDescent="0.25">
      <c r="A49" t="s">
        <v>24</v>
      </c>
      <c r="B49" t="s">
        <v>37</v>
      </c>
      <c r="C49" s="1" t="s">
        <v>38</v>
      </c>
      <c r="D49" s="1" t="s">
        <v>43</v>
      </c>
      <c r="E49">
        <v>1514</v>
      </c>
      <c r="F49" s="2">
        <v>10</v>
      </c>
      <c r="G49" s="2">
        <v>15</v>
      </c>
      <c r="H49" s="2">
        <v>22710</v>
      </c>
      <c r="I49" s="2">
        <v>227.1</v>
      </c>
      <c r="J49" s="2">
        <v>22482.9</v>
      </c>
      <c r="K49" s="2">
        <v>15140</v>
      </c>
      <c r="L49" s="2">
        <v>7342.9000000000015</v>
      </c>
      <c r="M49" s="3">
        <v>41671</v>
      </c>
      <c r="N49" s="4">
        <v>2</v>
      </c>
      <c r="O49" s="1" t="s">
        <v>39</v>
      </c>
      <c r="P49" s="5" t="s">
        <v>22</v>
      </c>
      <c r="Q49" s="2">
        <f>sales[[#This Row],[Profit]]/sales[[#This Row],[Units Sold]]</f>
        <v>4.8500000000000005</v>
      </c>
    </row>
    <row r="50" spans="1:17" x14ac:dyDescent="0.25">
      <c r="A50" t="s">
        <v>17</v>
      </c>
      <c r="B50" t="s">
        <v>37</v>
      </c>
      <c r="C50" s="1" t="s">
        <v>38</v>
      </c>
      <c r="D50" s="1" t="s">
        <v>43</v>
      </c>
      <c r="E50">
        <v>4492.5</v>
      </c>
      <c r="F50" s="2">
        <v>10</v>
      </c>
      <c r="G50" s="2">
        <v>7</v>
      </c>
      <c r="H50" s="2">
        <v>31447.5</v>
      </c>
      <c r="I50" s="2">
        <v>314.47500000000002</v>
      </c>
      <c r="J50" s="2">
        <v>31133.024999999998</v>
      </c>
      <c r="K50" s="2">
        <v>22462.5</v>
      </c>
      <c r="L50" s="2">
        <v>8670.5249999999978</v>
      </c>
      <c r="M50" s="3">
        <v>41730</v>
      </c>
      <c r="N50" s="4">
        <v>4</v>
      </c>
      <c r="O50" s="1" t="s">
        <v>42</v>
      </c>
      <c r="P50" s="5" t="s">
        <v>22</v>
      </c>
      <c r="Q50" s="2">
        <f>sales[[#This Row],[Profit]]/sales[[#This Row],[Units Sold]]</f>
        <v>1.9299999999999995</v>
      </c>
    </row>
    <row r="51" spans="1:17" x14ac:dyDescent="0.25">
      <c r="A51" t="s">
        <v>32</v>
      </c>
      <c r="B51" t="s">
        <v>37</v>
      </c>
      <c r="C51" s="1" t="s">
        <v>38</v>
      </c>
      <c r="D51" s="1" t="s">
        <v>43</v>
      </c>
      <c r="E51">
        <v>727</v>
      </c>
      <c r="F51" s="2">
        <v>10</v>
      </c>
      <c r="G51" s="2">
        <v>125</v>
      </c>
      <c r="H51" s="2">
        <v>90875</v>
      </c>
      <c r="I51" s="2">
        <v>908.75</v>
      </c>
      <c r="J51" s="2">
        <v>89966.25</v>
      </c>
      <c r="K51" s="2">
        <v>87240</v>
      </c>
      <c r="L51" s="2">
        <v>2726.25</v>
      </c>
      <c r="M51" s="3">
        <v>41791</v>
      </c>
      <c r="N51" s="4">
        <v>6</v>
      </c>
      <c r="O51" s="1" t="s">
        <v>26</v>
      </c>
      <c r="P51" s="5" t="s">
        <v>22</v>
      </c>
      <c r="Q51" s="2">
        <f>sales[[#This Row],[Profit]]/sales[[#This Row],[Units Sold]]</f>
        <v>3.75</v>
      </c>
    </row>
    <row r="52" spans="1:17" x14ac:dyDescent="0.25">
      <c r="A52" t="s">
        <v>32</v>
      </c>
      <c r="B52" t="s">
        <v>25</v>
      </c>
      <c r="C52" s="1" t="s">
        <v>38</v>
      </c>
      <c r="D52" s="1" t="s">
        <v>43</v>
      </c>
      <c r="E52">
        <v>787</v>
      </c>
      <c r="F52" s="2">
        <v>10</v>
      </c>
      <c r="G52" s="2">
        <v>125</v>
      </c>
      <c r="H52" s="2">
        <v>98375</v>
      </c>
      <c r="I52" s="2">
        <v>983.75</v>
      </c>
      <c r="J52" s="2">
        <v>97391.25</v>
      </c>
      <c r="K52" s="2">
        <v>94440</v>
      </c>
      <c r="L52" s="2">
        <v>2951.25</v>
      </c>
      <c r="M52" s="3">
        <v>41791</v>
      </c>
      <c r="N52" s="4">
        <v>6</v>
      </c>
      <c r="O52" s="1" t="s">
        <v>26</v>
      </c>
      <c r="P52" s="5" t="s">
        <v>22</v>
      </c>
      <c r="Q52" s="2">
        <f>sales[[#This Row],[Profit]]/sales[[#This Row],[Units Sold]]</f>
        <v>3.75</v>
      </c>
    </row>
    <row r="53" spans="1:17" x14ac:dyDescent="0.25">
      <c r="A53" t="s">
        <v>32</v>
      </c>
      <c r="B53" t="s">
        <v>27</v>
      </c>
      <c r="C53" s="1" t="s">
        <v>38</v>
      </c>
      <c r="D53" s="1" t="s">
        <v>43</v>
      </c>
      <c r="E53">
        <v>1823</v>
      </c>
      <c r="F53" s="2">
        <v>10</v>
      </c>
      <c r="G53" s="2">
        <v>125</v>
      </c>
      <c r="H53" s="2">
        <v>227875</v>
      </c>
      <c r="I53" s="2">
        <v>2278.75</v>
      </c>
      <c r="J53" s="2">
        <v>225596.25</v>
      </c>
      <c r="K53" s="2">
        <v>218760</v>
      </c>
      <c r="L53" s="2">
        <v>6836.25</v>
      </c>
      <c r="M53" s="3">
        <v>41821</v>
      </c>
      <c r="N53" s="4">
        <v>7</v>
      </c>
      <c r="O53" s="1" t="s">
        <v>33</v>
      </c>
      <c r="P53" s="5" t="s">
        <v>22</v>
      </c>
      <c r="Q53" s="2">
        <f>sales[[#This Row],[Profit]]/sales[[#This Row],[Units Sold]]</f>
        <v>3.75</v>
      </c>
    </row>
    <row r="54" spans="1:17" x14ac:dyDescent="0.25">
      <c r="A54" t="s">
        <v>24</v>
      </c>
      <c r="B54" t="s">
        <v>23</v>
      </c>
      <c r="C54" s="1" t="s">
        <v>38</v>
      </c>
      <c r="D54" s="1" t="s">
        <v>43</v>
      </c>
      <c r="E54">
        <v>747</v>
      </c>
      <c r="F54" s="2">
        <v>10</v>
      </c>
      <c r="G54" s="2">
        <v>15</v>
      </c>
      <c r="H54" s="2">
        <v>11205</v>
      </c>
      <c r="I54" s="2">
        <v>112.05</v>
      </c>
      <c r="J54" s="2">
        <v>11092.95</v>
      </c>
      <c r="K54" s="2">
        <v>7470</v>
      </c>
      <c r="L54" s="2">
        <v>3622.9500000000007</v>
      </c>
      <c r="M54" s="3">
        <v>41883</v>
      </c>
      <c r="N54" s="4">
        <v>9</v>
      </c>
      <c r="O54" s="1" t="s">
        <v>36</v>
      </c>
      <c r="P54" s="5" t="s">
        <v>22</v>
      </c>
      <c r="Q54" s="2">
        <f>sales[[#This Row],[Profit]]/sales[[#This Row],[Units Sold]]</f>
        <v>4.8500000000000005</v>
      </c>
    </row>
    <row r="55" spans="1:17" x14ac:dyDescent="0.25">
      <c r="A55" t="s">
        <v>34</v>
      </c>
      <c r="B55" t="s">
        <v>37</v>
      </c>
      <c r="C55" s="1" t="s">
        <v>38</v>
      </c>
      <c r="D55" s="1" t="s">
        <v>43</v>
      </c>
      <c r="E55">
        <v>2905</v>
      </c>
      <c r="F55" s="2">
        <v>10</v>
      </c>
      <c r="G55" s="2">
        <v>300</v>
      </c>
      <c r="H55" s="2">
        <v>871500</v>
      </c>
      <c r="I55" s="2">
        <v>8715</v>
      </c>
      <c r="J55" s="2">
        <v>862785</v>
      </c>
      <c r="K55" s="2">
        <v>726250</v>
      </c>
      <c r="L55" s="2">
        <v>136535</v>
      </c>
      <c r="M55" s="3">
        <v>41944</v>
      </c>
      <c r="N55" s="4">
        <v>11</v>
      </c>
      <c r="O55" s="1" t="s">
        <v>45</v>
      </c>
      <c r="P55" s="5" t="s">
        <v>22</v>
      </c>
      <c r="Q55" s="2">
        <f>sales[[#This Row],[Profit]]/sales[[#This Row],[Units Sold]]</f>
        <v>47</v>
      </c>
    </row>
    <row r="56" spans="1:17" x14ac:dyDescent="0.25">
      <c r="A56" t="s">
        <v>17</v>
      </c>
      <c r="B56" t="s">
        <v>25</v>
      </c>
      <c r="C56" s="1" t="s">
        <v>38</v>
      </c>
      <c r="D56" s="1" t="s">
        <v>43</v>
      </c>
      <c r="E56">
        <v>2155</v>
      </c>
      <c r="F56" s="2">
        <v>10</v>
      </c>
      <c r="G56" s="2">
        <v>350</v>
      </c>
      <c r="H56" s="2">
        <v>754250</v>
      </c>
      <c r="I56" s="2">
        <v>7542.5</v>
      </c>
      <c r="J56" s="2">
        <v>746707.5</v>
      </c>
      <c r="K56" s="2">
        <v>560300</v>
      </c>
      <c r="L56" s="2">
        <v>186407.5</v>
      </c>
      <c r="M56" s="3">
        <v>41974</v>
      </c>
      <c r="N56" s="4">
        <v>12</v>
      </c>
      <c r="O56" s="1" t="s">
        <v>28</v>
      </c>
      <c r="P56" s="5" t="s">
        <v>22</v>
      </c>
      <c r="Q56" s="2">
        <f>sales[[#This Row],[Profit]]/sales[[#This Row],[Units Sold]]</f>
        <v>86.5</v>
      </c>
    </row>
    <row r="57" spans="1:17" x14ac:dyDescent="0.25">
      <c r="A57" t="s">
        <v>32</v>
      </c>
      <c r="B57" t="s">
        <v>18</v>
      </c>
      <c r="C57" s="1" t="s">
        <v>19</v>
      </c>
      <c r="D57" s="1" t="s">
        <v>43</v>
      </c>
      <c r="E57">
        <v>742.5</v>
      </c>
      <c r="F57" s="2">
        <v>3</v>
      </c>
      <c r="G57" s="2">
        <v>125</v>
      </c>
      <c r="H57" s="2">
        <v>92812.5</v>
      </c>
      <c r="I57" s="2">
        <v>1856.25</v>
      </c>
      <c r="J57" s="2">
        <v>90956.25</v>
      </c>
      <c r="K57" s="2">
        <v>89100</v>
      </c>
      <c r="L57" s="2">
        <v>1856.25</v>
      </c>
      <c r="M57" s="3">
        <v>41730</v>
      </c>
      <c r="N57" s="4">
        <v>4</v>
      </c>
      <c r="O57" s="1" t="s">
        <v>42</v>
      </c>
      <c r="P57" s="5" t="s">
        <v>22</v>
      </c>
      <c r="Q57" s="2">
        <f>sales[[#This Row],[Profit]]/sales[[#This Row],[Units Sold]]</f>
        <v>2.5</v>
      </c>
    </row>
    <row r="58" spans="1:17" x14ac:dyDescent="0.25">
      <c r="A58" t="s">
        <v>31</v>
      </c>
      <c r="B58" t="s">
        <v>18</v>
      </c>
      <c r="C58" s="1" t="s">
        <v>19</v>
      </c>
      <c r="D58" s="1" t="s">
        <v>43</v>
      </c>
      <c r="E58">
        <v>1295</v>
      </c>
      <c r="F58" s="2">
        <v>3</v>
      </c>
      <c r="G58" s="2">
        <v>12</v>
      </c>
      <c r="H58" s="2">
        <v>15540</v>
      </c>
      <c r="I58" s="2">
        <v>310.8</v>
      </c>
      <c r="J58" s="2">
        <v>15229.2</v>
      </c>
      <c r="K58" s="2">
        <v>3885</v>
      </c>
      <c r="L58" s="2">
        <v>11344.2</v>
      </c>
      <c r="M58" s="3">
        <v>41913</v>
      </c>
      <c r="N58" s="4">
        <v>10</v>
      </c>
      <c r="O58" s="1" t="s">
        <v>40</v>
      </c>
      <c r="P58" s="5" t="s">
        <v>22</v>
      </c>
      <c r="Q58" s="2">
        <f>sales[[#This Row],[Profit]]/sales[[#This Row],[Units Sold]]</f>
        <v>8.76</v>
      </c>
    </row>
    <row r="59" spans="1:17" x14ac:dyDescent="0.25">
      <c r="A59" t="s">
        <v>17</v>
      </c>
      <c r="B59" t="s">
        <v>18</v>
      </c>
      <c r="C59" s="1" t="s">
        <v>19</v>
      </c>
      <c r="D59" s="1" t="s">
        <v>43</v>
      </c>
      <c r="E59">
        <v>2852</v>
      </c>
      <c r="F59" s="2">
        <v>3</v>
      </c>
      <c r="G59" s="2">
        <v>350</v>
      </c>
      <c r="H59" s="2">
        <v>998200</v>
      </c>
      <c r="I59" s="2">
        <v>19964</v>
      </c>
      <c r="J59" s="2">
        <v>978236</v>
      </c>
      <c r="K59" s="2">
        <v>741520</v>
      </c>
      <c r="L59" s="2">
        <v>236716</v>
      </c>
      <c r="M59" s="3">
        <v>41974</v>
      </c>
      <c r="N59" s="4">
        <v>12</v>
      </c>
      <c r="O59" s="1" t="s">
        <v>28</v>
      </c>
      <c r="P59" s="5" t="s">
        <v>22</v>
      </c>
      <c r="Q59" s="2">
        <f>sales[[#This Row],[Profit]]/sales[[#This Row],[Units Sold]]</f>
        <v>83</v>
      </c>
    </row>
    <row r="60" spans="1:17" x14ac:dyDescent="0.25">
      <c r="A60" t="s">
        <v>31</v>
      </c>
      <c r="B60" t="s">
        <v>37</v>
      </c>
      <c r="C60" s="1" t="s">
        <v>29</v>
      </c>
      <c r="D60" s="1" t="s">
        <v>43</v>
      </c>
      <c r="E60">
        <v>1142</v>
      </c>
      <c r="F60" s="2">
        <v>5</v>
      </c>
      <c r="G60" s="2">
        <v>12</v>
      </c>
      <c r="H60" s="2">
        <v>13704</v>
      </c>
      <c r="I60" s="2">
        <v>274.08</v>
      </c>
      <c r="J60" s="2">
        <v>13429.92</v>
      </c>
      <c r="K60" s="2">
        <v>3426</v>
      </c>
      <c r="L60" s="2">
        <v>10003.92</v>
      </c>
      <c r="M60" s="3">
        <v>41791</v>
      </c>
      <c r="N60" s="4">
        <v>6</v>
      </c>
      <c r="O60" s="1" t="s">
        <v>26</v>
      </c>
      <c r="P60" s="5" t="s">
        <v>22</v>
      </c>
      <c r="Q60" s="2">
        <f>sales[[#This Row],[Profit]]/sales[[#This Row],[Units Sold]]</f>
        <v>8.76</v>
      </c>
    </row>
    <row r="61" spans="1:17" x14ac:dyDescent="0.25">
      <c r="A61" t="s">
        <v>17</v>
      </c>
      <c r="B61" t="s">
        <v>37</v>
      </c>
      <c r="C61" s="1" t="s">
        <v>29</v>
      </c>
      <c r="D61" s="1" t="s">
        <v>43</v>
      </c>
      <c r="E61">
        <v>1566</v>
      </c>
      <c r="F61" s="2">
        <v>5</v>
      </c>
      <c r="G61" s="2">
        <v>20</v>
      </c>
      <c r="H61" s="2">
        <v>31320</v>
      </c>
      <c r="I61" s="2">
        <v>626.4</v>
      </c>
      <c r="J61" s="2">
        <v>30693.599999999999</v>
      </c>
      <c r="K61" s="2">
        <v>15660</v>
      </c>
      <c r="L61" s="2">
        <v>15033.599999999999</v>
      </c>
      <c r="M61" s="3">
        <v>41913</v>
      </c>
      <c r="N61" s="4">
        <v>10</v>
      </c>
      <c r="O61" s="1" t="s">
        <v>40</v>
      </c>
      <c r="P61" s="5" t="s">
        <v>22</v>
      </c>
      <c r="Q61" s="2">
        <f>sales[[#This Row],[Profit]]/sales[[#This Row],[Units Sold]]</f>
        <v>9.6</v>
      </c>
    </row>
    <row r="62" spans="1:17" x14ac:dyDescent="0.25">
      <c r="A62" t="s">
        <v>31</v>
      </c>
      <c r="B62" t="s">
        <v>27</v>
      </c>
      <c r="C62" s="1" t="s">
        <v>29</v>
      </c>
      <c r="D62" s="1" t="s">
        <v>43</v>
      </c>
      <c r="E62">
        <v>690</v>
      </c>
      <c r="F62" s="2">
        <v>5</v>
      </c>
      <c r="G62" s="2">
        <v>12</v>
      </c>
      <c r="H62" s="2">
        <v>8280</v>
      </c>
      <c r="I62" s="2">
        <v>165.6</v>
      </c>
      <c r="J62" s="2">
        <v>8114.4</v>
      </c>
      <c r="K62" s="2">
        <v>2070</v>
      </c>
      <c r="L62" s="2">
        <v>6044.4</v>
      </c>
      <c r="M62" s="3">
        <v>41944</v>
      </c>
      <c r="N62" s="4">
        <v>11</v>
      </c>
      <c r="O62" s="1" t="s">
        <v>45</v>
      </c>
      <c r="P62" s="5" t="s">
        <v>22</v>
      </c>
      <c r="Q62" s="2">
        <f>sales[[#This Row],[Profit]]/sales[[#This Row],[Units Sold]]</f>
        <v>8.76</v>
      </c>
    </row>
    <row r="63" spans="1:17" x14ac:dyDescent="0.25">
      <c r="A63" t="s">
        <v>24</v>
      </c>
      <c r="B63" t="s">
        <v>18</v>
      </c>
      <c r="C63" s="1" t="s">
        <v>38</v>
      </c>
      <c r="D63" s="1" t="s">
        <v>43</v>
      </c>
      <c r="E63">
        <v>2363</v>
      </c>
      <c r="F63" s="2">
        <v>10</v>
      </c>
      <c r="G63" s="2">
        <v>15</v>
      </c>
      <c r="H63" s="2">
        <v>35445</v>
      </c>
      <c r="I63" s="2">
        <v>708.9</v>
      </c>
      <c r="J63" s="2">
        <v>34736.1</v>
      </c>
      <c r="K63" s="2">
        <v>23630</v>
      </c>
      <c r="L63" s="2">
        <v>11106.099999999999</v>
      </c>
      <c r="M63" s="3">
        <v>41671</v>
      </c>
      <c r="N63" s="4">
        <v>2</v>
      </c>
      <c r="O63" s="1" t="s">
        <v>39</v>
      </c>
      <c r="P63" s="5" t="s">
        <v>22</v>
      </c>
      <c r="Q63" s="2">
        <f>sales[[#This Row],[Profit]]/sales[[#This Row],[Units Sold]]</f>
        <v>4.6999999999999993</v>
      </c>
    </row>
    <row r="64" spans="1:17" x14ac:dyDescent="0.25">
      <c r="A64" t="s">
        <v>34</v>
      </c>
      <c r="B64" t="s">
        <v>25</v>
      </c>
      <c r="C64" s="1" t="s">
        <v>38</v>
      </c>
      <c r="D64" s="1" t="s">
        <v>43</v>
      </c>
      <c r="E64">
        <v>918</v>
      </c>
      <c r="F64" s="2">
        <v>10</v>
      </c>
      <c r="G64" s="2">
        <v>300</v>
      </c>
      <c r="H64" s="2">
        <v>275400</v>
      </c>
      <c r="I64" s="2">
        <v>5508</v>
      </c>
      <c r="J64" s="2">
        <v>269892</v>
      </c>
      <c r="K64" s="2">
        <v>229500</v>
      </c>
      <c r="L64" s="2">
        <v>40392</v>
      </c>
      <c r="M64" s="3">
        <v>41760</v>
      </c>
      <c r="N64" s="4">
        <v>5</v>
      </c>
      <c r="O64" s="1" t="s">
        <v>44</v>
      </c>
      <c r="P64" s="5" t="s">
        <v>22</v>
      </c>
      <c r="Q64" s="2">
        <f>sales[[#This Row],[Profit]]/sales[[#This Row],[Units Sold]]</f>
        <v>44</v>
      </c>
    </row>
    <row r="65" spans="1:17" x14ac:dyDescent="0.25">
      <c r="A65" t="s">
        <v>34</v>
      </c>
      <c r="B65" t="s">
        <v>23</v>
      </c>
      <c r="C65" s="1" t="s">
        <v>38</v>
      </c>
      <c r="D65" s="1" t="s">
        <v>43</v>
      </c>
      <c r="E65">
        <v>1728</v>
      </c>
      <c r="F65" s="2">
        <v>10</v>
      </c>
      <c r="G65" s="2">
        <v>300</v>
      </c>
      <c r="H65" s="2">
        <v>518400</v>
      </c>
      <c r="I65" s="2">
        <v>10368</v>
      </c>
      <c r="J65" s="2">
        <v>508032</v>
      </c>
      <c r="K65" s="2">
        <v>432000</v>
      </c>
      <c r="L65" s="2">
        <v>76032</v>
      </c>
      <c r="M65" s="3">
        <v>41760</v>
      </c>
      <c r="N65" s="4">
        <v>5</v>
      </c>
      <c r="O65" s="1" t="s">
        <v>44</v>
      </c>
      <c r="P65" s="5" t="s">
        <v>22</v>
      </c>
      <c r="Q65" s="2">
        <f>sales[[#This Row],[Profit]]/sales[[#This Row],[Units Sold]]</f>
        <v>44</v>
      </c>
    </row>
    <row r="66" spans="1:17" x14ac:dyDescent="0.25">
      <c r="A66" t="s">
        <v>31</v>
      </c>
      <c r="B66" t="s">
        <v>37</v>
      </c>
      <c r="C66" s="1" t="s">
        <v>38</v>
      </c>
      <c r="D66" s="1" t="s">
        <v>43</v>
      </c>
      <c r="E66">
        <v>1142</v>
      </c>
      <c r="F66" s="2">
        <v>10</v>
      </c>
      <c r="G66" s="2">
        <v>12</v>
      </c>
      <c r="H66" s="2">
        <v>13704</v>
      </c>
      <c r="I66" s="2">
        <v>274.08</v>
      </c>
      <c r="J66" s="2">
        <v>13429.92</v>
      </c>
      <c r="K66" s="2">
        <v>3426</v>
      </c>
      <c r="L66" s="2">
        <v>10003.92</v>
      </c>
      <c r="M66" s="3">
        <v>41791</v>
      </c>
      <c r="N66" s="4">
        <v>6</v>
      </c>
      <c r="O66" s="1" t="s">
        <v>26</v>
      </c>
      <c r="P66" s="5" t="s">
        <v>22</v>
      </c>
      <c r="Q66" s="2">
        <f>sales[[#This Row],[Profit]]/sales[[#This Row],[Units Sold]]</f>
        <v>8.76</v>
      </c>
    </row>
    <row r="67" spans="1:17" x14ac:dyDescent="0.25">
      <c r="A67" t="s">
        <v>32</v>
      </c>
      <c r="B67" t="s">
        <v>27</v>
      </c>
      <c r="C67" s="1" t="s">
        <v>38</v>
      </c>
      <c r="D67" s="1" t="s">
        <v>43</v>
      </c>
      <c r="E67">
        <v>662</v>
      </c>
      <c r="F67" s="2">
        <v>10</v>
      </c>
      <c r="G67" s="2">
        <v>125</v>
      </c>
      <c r="H67" s="2">
        <v>82750</v>
      </c>
      <c r="I67" s="2">
        <v>1655</v>
      </c>
      <c r="J67" s="2">
        <v>81095</v>
      </c>
      <c r="K67" s="2">
        <v>79440</v>
      </c>
      <c r="L67" s="2">
        <v>1655</v>
      </c>
      <c r="M67" s="3">
        <v>41791</v>
      </c>
      <c r="N67" s="4">
        <v>6</v>
      </c>
      <c r="O67" s="1" t="s">
        <v>26</v>
      </c>
      <c r="P67" s="5" t="s">
        <v>22</v>
      </c>
      <c r="Q67" s="2">
        <f>sales[[#This Row],[Profit]]/sales[[#This Row],[Units Sold]]</f>
        <v>2.5</v>
      </c>
    </row>
    <row r="68" spans="1:17" x14ac:dyDescent="0.25">
      <c r="A68" t="s">
        <v>31</v>
      </c>
      <c r="B68" t="s">
        <v>18</v>
      </c>
      <c r="C68" s="1" t="s">
        <v>38</v>
      </c>
      <c r="D68" s="1" t="s">
        <v>43</v>
      </c>
      <c r="E68">
        <v>1295</v>
      </c>
      <c r="F68" s="2">
        <v>10</v>
      </c>
      <c r="G68" s="2">
        <v>12</v>
      </c>
      <c r="H68" s="2">
        <v>15540</v>
      </c>
      <c r="I68" s="2">
        <v>310.8</v>
      </c>
      <c r="J68" s="2">
        <v>15229.2</v>
      </c>
      <c r="K68" s="2">
        <v>3885</v>
      </c>
      <c r="L68" s="2">
        <v>11344.2</v>
      </c>
      <c r="M68" s="3">
        <v>41913</v>
      </c>
      <c r="N68" s="4">
        <v>10</v>
      </c>
      <c r="O68" s="1" t="s">
        <v>40</v>
      </c>
      <c r="P68" s="5" t="s">
        <v>22</v>
      </c>
      <c r="Q68" s="2">
        <f>sales[[#This Row],[Profit]]/sales[[#This Row],[Units Sold]]</f>
        <v>8.76</v>
      </c>
    </row>
    <row r="69" spans="1:17" x14ac:dyDescent="0.25">
      <c r="A69" t="s">
        <v>34</v>
      </c>
      <c r="B69" t="s">
        <v>18</v>
      </c>
      <c r="C69" s="1" t="s">
        <v>38</v>
      </c>
      <c r="D69" s="1" t="s">
        <v>43</v>
      </c>
      <c r="E69">
        <v>1916</v>
      </c>
      <c r="F69" s="2">
        <v>10</v>
      </c>
      <c r="G69" s="2">
        <v>300</v>
      </c>
      <c r="H69" s="2">
        <v>574800</v>
      </c>
      <c r="I69" s="2">
        <v>11496</v>
      </c>
      <c r="J69" s="2">
        <v>563304</v>
      </c>
      <c r="K69" s="2">
        <v>479000</v>
      </c>
      <c r="L69" s="2">
        <v>84304</v>
      </c>
      <c r="M69" s="3">
        <v>41974</v>
      </c>
      <c r="N69" s="4">
        <v>12</v>
      </c>
      <c r="O69" s="1" t="s">
        <v>28</v>
      </c>
      <c r="P69" s="5" t="s">
        <v>22</v>
      </c>
      <c r="Q69" s="2">
        <f>sales[[#This Row],[Profit]]/sales[[#This Row],[Units Sold]]</f>
        <v>44</v>
      </c>
    </row>
    <row r="70" spans="1:17" x14ac:dyDescent="0.25">
      <c r="A70" t="s">
        <v>17</v>
      </c>
      <c r="B70" t="s">
        <v>18</v>
      </c>
      <c r="C70" s="1" t="s">
        <v>38</v>
      </c>
      <c r="D70" s="1" t="s">
        <v>43</v>
      </c>
      <c r="E70">
        <v>2852</v>
      </c>
      <c r="F70" s="2">
        <v>10</v>
      </c>
      <c r="G70" s="2">
        <v>350</v>
      </c>
      <c r="H70" s="2">
        <v>998200</v>
      </c>
      <c r="I70" s="2">
        <v>19964</v>
      </c>
      <c r="J70" s="2">
        <v>978236</v>
      </c>
      <c r="K70" s="2">
        <v>741520</v>
      </c>
      <c r="L70" s="2">
        <v>236716</v>
      </c>
      <c r="M70" s="3">
        <v>41974</v>
      </c>
      <c r="N70" s="4">
        <v>12</v>
      </c>
      <c r="O70" s="1" t="s">
        <v>28</v>
      </c>
      <c r="P70" s="5" t="s">
        <v>22</v>
      </c>
      <c r="Q70" s="2">
        <f>sales[[#This Row],[Profit]]/sales[[#This Row],[Units Sold]]</f>
        <v>83</v>
      </c>
    </row>
    <row r="71" spans="1:17" x14ac:dyDescent="0.25">
      <c r="A71" t="s">
        <v>32</v>
      </c>
      <c r="B71" t="s">
        <v>18</v>
      </c>
      <c r="C71" s="1" t="s">
        <v>38</v>
      </c>
      <c r="D71" s="1" t="s">
        <v>43</v>
      </c>
      <c r="E71">
        <v>2729</v>
      </c>
      <c r="F71" s="2">
        <v>10</v>
      </c>
      <c r="G71" s="2">
        <v>125</v>
      </c>
      <c r="H71" s="2">
        <v>341125</v>
      </c>
      <c r="I71" s="2">
        <v>6822.5</v>
      </c>
      <c r="J71" s="2">
        <v>334302.5</v>
      </c>
      <c r="K71" s="2">
        <v>327480</v>
      </c>
      <c r="L71" s="2">
        <v>6822.5</v>
      </c>
      <c r="M71" s="3">
        <v>41974</v>
      </c>
      <c r="N71" s="4">
        <v>12</v>
      </c>
      <c r="O71" s="1" t="s">
        <v>28</v>
      </c>
      <c r="P71" s="5" t="s">
        <v>22</v>
      </c>
      <c r="Q71" s="2">
        <f>sales[[#This Row],[Profit]]/sales[[#This Row],[Units Sold]]</f>
        <v>2.5</v>
      </c>
    </row>
    <row r="72" spans="1:17" x14ac:dyDescent="0.25">
      <c r="A72" t="s">
        <v>31</v>
      </c>
      <c r="B72" t="s">
        <v>25</v>
      </c>
      <c r="C72" s="1" t="s">
        <v>38</v>
      </c>
      <c r="D72" s="1" t="s">
        <v>43</v>
      </c>
      <c r="E72">
        <v>1055</v>
      </c>
      <c r="F72" s="2">
        <v>10</v>
      </c>
      <c r="G72" s="2">
        <v>12</v>
      </c>
      <c r="H72" s="2">
        <v>12660</v>
      </c>
      <c r="I72" s="2">
        <v>253.2</v>
      </c>
      <c r="J72" s="2">
        <v>12406.8</v>
      </c>
      <c r="K72" s="2">
        <v>3165</v>
      </c>
      <c r="L72" s="2">
        <v>9241.7999999999993</v>
      </c>
      <c r="M72" s="3">
        <v>41974</v>
      </c>
      <c r="N72" s="4">
        <v>12</v>
      </c>
      <c r="O72" s="1" t="s">
        <v>28</v>
      </c>
      <c r="P72" s="5" t="s">
        <v>22</v>
      </c>
      <c r="Q72" s="2">
        <f>sales[[#This Row],[Profit]]/sales[[#This Row],[Units Sold]]</f>
        <v>8.76</v>
      </c>
    </row>
    <row r="73" spans="1:17" x14ac:dyDescent="0.25">
      <c r="A73" t="s">
        <v>31</v>
      </c>
      <c r="B73" t="s">
        <v>27</v>
      </c>
      <c r="C73" s="1" t="s">
        <v>38</v>
      </c>
      <c r="D73" s="1" t="s">
        <v>43</v>
      </c>
      <c r="E73">
        <v>1084</v>
      </c>
      <c r="F73" s="2">
        <v>10</v>
      </c>
      <c r="G73" s="2">
        <v>12</v>
      </c>
      <c r="H73" s="2">
        <v>13008</v>
      </c>
      <c r="I73" s="2">
        <v>260.16000000000003</v>
      </c>
      <c r="J73" s="2">
        <v>12747.84</v>
      </c>
      <c r="K73" s="2">
        <v>3252</v>
      </c>
      <c r="L73" s="2">
        <v>9495.84</v>
      </c>
      <c r="M73" s="3">
        <v>41974</v>
      </c>
      <c r="N73" s="4">
        <v>12</v>
      </c>
      <c r="O73" s="1" t="s">
        <v>28</v>
      </c>
      <c r="P73" s="5" t="s">
        <v>22</v>
      </c>
      <c r="Q73" s="2">
        <f>sales[[#This Row],[Profit]]/sales[[#This Row],[Units Sold]]</f>
        <v>8.76</v>
      </c>
    </row>
    <row r="74" spans="1:17" x14ac:dyDescent="0.25">
      <c r="A74" t="s">
        <v>34</v>
      </c>
      <c r="B74" t="s">
        <v>23</v>
      </c>
      <c r="C74" s="1" t="s">
        <v>41</v>
      </c>
      <c r="D74" s="1" t="s">
        <v>43</v>
      </c>
      <c r="E74">
        <v>259</v>
      </c>
      <c r="F74" s="2">
        <v>260</v>
      </c>
      <c r="G74" s="2">
        <v>300</v>
      </c>
      <c r="H74" s="2">
        <v>77700</v>
      </c>
      <c r="I74" s="2">
        <v>1554</v>
      </c>
      <c r="J74" s="2">
        <v>76146</v>
      </c>
      <c r="K74" s="2">
        <v>64750</v>
      </c>
      <c r="L74" s="2">
        <v>11396</v>
      </c>
      <c r="M74" s="3">
        <v>41699</v>
      </c>
      <c r="N74" s="4">
        <v>3</v>
      </c>
      <c r="O74" s="1" t="s">
        <v>30</v>
      </c>
      <c r="P74" s="5" t="s">
        <v>22</v>
      </c>
      <c r="Q74" s="2">
        <f>sales[[#This Row],[Profit]]/sales[[#This Row],[Units Sold]]</f>
        <v>44</v>
      </c>
    </row>
    <row r="75" spans="1:17" x14ac:dyDescent="0.25">
      <c r="A75" t="s">
        <v>34</v>
      </c>
      <c r="B75" t="s">
        <v>27</v>
      </c>
      <c r="C75" s="1" t="s">
        <v>41</v>
      </c>
      <c r="D75" s="1" t="s">
        <v>43</v>
      </c>
      <c r="E75">
        <v>1101</v>
      </c>
      <c r="F75" s="2">
        <v>260</v>
      </c>
      <c r="G75" s="2">
        <v>300</v>
      </c>
      <c r="H75" s="2">
        <v>330300</v>
      </c>
      <c r="I75" s="2">
        <v>6606</v>
      </c>
      <c r="J75" s="2">
        <v>323694</v>
      </c>
      <c r="K75" s="2">
        <v>275250</v>
      </c>
      <c r="L75" s="2">
        <v>48444</v>
      </c>
      <c r="M75" s="3">
        <v>41699</v>
      </c>
      <c r="N75" s="4">
        <v>3</v>
      </c>
      <c r="O75" s="1" t="s">
        <v>30</v>
      </c>
      <c r="P75" s="5" t="s">
        <v>22</v>
      </c>
      <c r="Q75" s="2">
        <f>sales[[#This Row],[Profit]]/sales[[#This Row],[Units Sold]]</f>
        <v>44</v>
      </c>
    </row>
    <row r="76" spans="1:17" x14ac:dyDescent="0.25">
      <c r="A76" t="s">
        <v>32</v>
      </c>
      <c r="B76" t="s">
        <v>23</v>
      </c>
      <c r="C76" s="1" t="s">
        <v>41</v>
      </c>
      <c r="D76" s="1" t="s">
        <v>43</v>
      </c>
      <c r="E76">
        <v>2276</v>
      </c>
      <c r="F76" s="2">
        <v>260</v>
      </c>
      <c r="G76" s="2">
        <v>125</v>
      </c>
      <c r="H76" s="2">
        <v>284500</v>
      </c>
      <c r="I76" s="2">
        <v>5690</v>
      </c>
      <c r="J76" s="2">
        <v>278810</v>
      </c>
      <c r="K76" s="2">
        <v>273120</v>
      </c>
      <c r="L76" s="2">
        <v>5690</v>
      </c>
      <c r="M76" s="3">
        <v>41760</v>
      </c>
      <c r="N76" s="4">
        <v>5</v>
      </c>
      <c r="O76" s="1" t="s">
        <v>44</v>
      </c>
      <c r="P76" s="5" t="s">
        <v>22</v>
      </c>
      <c r="Q76" s="2">
        <f>sales[[#This Row],[Profit]]/sales[[#This Row],[Units Sold]]</f>
        <v>2.5</v>
      </c>
    </row>
    <row r="77" spans="1:17" x14ac:dyDescent="0.25">
      <c r="A77" t="s">
        <v>17</v>
      </c>
      <c r="B77" t="s">
        <v>37</v>
      </c>
      <c r="C77" s="1" t="s">
        <v>41</v>
      </c>
      <c r="D77" s="1" t="s">
        <v>43</v>
      </c>
      <c r="E77">
        <v>1236</v>
      </c>
      <c r="F77" s="2">
        <v>260</v>
      </c>
      <c r="G77" s="2">
        <v>20</v>
      </c>
      <c r="H77" s="2">
        <v>24720</v>
      </c>
      <c r="I77" s="2">
        <v>494.4</v>
      </c>
      <c r="J77" s="2">
        <v>24225.599999999999</v>
      </c>
      <c r="K77" s="2">
        <v>12360</v>
      </c>
      <c r="L77" s="2">
        <v>11865.599999999999</v>
      </c>
      <c r="M77" s="3">
        <v>41944</v>
      </c>
      <c r="N77" s="4">
        <v>11</v>
      </c>
      <c r="O77" s="1" t="s">
        <v>45</v>
      </c>
      <c r="P77" s="5" t="s">
        <v>22</v>
      </c>
      <c r="Q77" s="2">
        <f>sales[[#This Row],[Profit]]/sales[[#This Row],[Units Sold]]</f>
        <v>9.6</v>
      </c>
    </row>
    <row r="78" spans="1:17" x14ac:dyDescent="0.25">
      <c r="A78" t="s">
        <v>17</v>
      </c>
      <c r="B78" t="s">
        <v>25</v>
      </c>
      <c r="C78" s="1" t="s">
        <v>41</v>
      </c>
      <c r="D78" s="1" t="s">
        <v>43</v>
      </c>
      <c r="E78">
        <v>941</v>
      </c>
      <c r="F78" s="2">
        <v>260</v>
      </c>
      <c r="G78" s="2">
        <v>20</v>
      </c>
      <c r="H78" s="2">
        <v>18820</v>
      </c>
      <c r="I78" s="2">
        <v>376.4</v>
      </c>
      <c r="J78" s="2">
        <v>18443.599999999999</v>
      </c>
      <c r="K78" s="2">
        <v>9410</v>
      </c>
      <c r="L78" s="2">
        <v>9033.5999999999985</v>
      </c>
      <c r="M78" s="3">
        <v>41944</v>
      </c>
      <c r="N78" s="4">
        <v>11</v>
      </c>
      <c r="O78" s="1" t="s">
        <v>45</v>
      </c>
      <c r="P78" s="5" t="s">
        <v>22</v>
      </c>
      <c r="Q78" s="2">
        <f>sales[[#This Row],[Profit]]/sales[[#This Row],[Units Sold]]</f>
        <v>9.5999999999999979</v>
      </c>
    </row>
    <row r="79" spans="1:17" x14ac:dyDescent="0.25">
      <c r="A79" t="s">
        <v>34</v>
      </c>
      <c r="B79" t="s">
        <v>18</v>
      </c>
      <c r="C79" s="1" t="s">
        <v>41</v>
      </c>
      <c r="D79" s="1" t="s">
        <v>43</v>
      </c>
      <c r="E79">
        <v>1916</v>
      </c>
      <c r="F79" s="2">
        <v>260</v>
      </c>
      <c r="G79" s="2">
        <v>300</v>
      </c>
      <c r="H79" s="2">
        <v>574800</v>
      </c>
      <c r="I79" s="2">
        <v>11496</v>
      </c>
      <c r="J79" s="2">
        <v>563304</v>
      </c>
      <c r="K79" s="2">
        <v>479000</v>
      </c>
      <c r="L79" s="2">
        <v>84304</v>
      </c>
      <c r="M79" s="3">
        <v>41974</v>
      </c>
      <c r="N79" s="4">
        <v>12</v>
      </c>
      <c r="O79" s="1" t="s">
        <v>28</v>
      </c>
      <c r="P79" s="5" t="s">
        <v>22</v>
      </c>
      <c r="Q79" s="2">
        <f>sales[[#This Row],[Profit]]/sales[[#This Row],[Units Sold]]</f>
        <v>44</v>
      </c>
    </row>
    <row r="80" spans="1:17" x14ac:dyDescent="0.25">
      <c r="A80" t="s">
        <v>32</v>
      </c>
      <c r="B80" t="s">
        <v>25</v>
      </c>
      <c r="C80" s="1" t="s">
        <v>19</v>
      </c>
      <c r="D80" s="1" t="s">
        <v>43</v>
      </c>
      <c r="E80">
        <v>4243.5</v>
      </c>
      <c r="F80" s="2">
        <v>3</v>
      </c>
      <c r="G80" s="2">
        <v>125</v>
      </c>
      <c r="H80" s="2">
        <v>530437.5</v>
      </c>
      <c r="I80" s="2">
        <v>15913.125</v>
      </c>
      <c r="J80" s="2">
        <v>514524.375</v>
      </c>
      <c r="K80" s="2">
        <v>509220</v>
      </c>
      <c r="L80" s="2">
        <v>5304.375</v>
      </c>
      <c r="M80" s="3">
        <v>41730</v>
      </c>
      <c r="N80" s="4">
        <v>4</v>
      </c>
      <c r="O80" s="1" t="s">
        <v>42</v>
      </c>
      <c r="P80" s="5" t="s">
        <v>22</v>
      </c>
      <c r="Q80" s="2">
        <f>sales[[#This Row],[Profit]]/sales[[#This Row],[Units Sold]]</f>
        <v>1.25</v>
      </c>
    </row>
    <row r="81" spans="1:17" x14ac:dyDescent="0.25">
      <c r="A81" t="s">
        <v>17</v>
      </c>
      <c r="B81" t="s">
        <v>23</v>
      </c>
      <c r="C81" s="1" t="s">
        <v>19</v>
      </c>
      <c r="D81" s="1" t="s">
        <v>43</v>
      </c>
      <c r="E81">
        <v>2580</v>
      </c>
      <c r="F81" s="2">
        <v>3</v>
      </c>
      <c r="G81" s="2">
        <v>20</v>
      </c>
      <c r="H81" s="2">
        <v>51600</v>
      </c>
      <c r="I81" s="2">
        <v>1548</v>
      </c>
      <c r="J81" s="2">
        <v>50052</v>
      </c>
      <c r="K81" s="2">
        <v>25800</v>
      </c>
      <c r="L81" s="2">
        <v>24252</v>
      </c>
      <c r="M81" s="3">
        <v>41730</v>
      </c>
      <c r="N81" s="4">
        <v>4</v>
      </c>
      <c r="O81" s="1" t="s">
        <v>42</v>
      </c>
      <c r="P81" s="5" t="s">
        <v>22</v>
      </c>
      <c r="Q81" s="2">
        <f>sales[[#This Row],[Profit]]/sales[[#This Row],[Units Sold]]</f>
        <v>9.4</v>
      </c>
    </row>
    <row r="82" spans="1:17" x14ac:dyDescent="0.25">
      <c r="A82" t="s">
        <v>34</v>
      </c>
      <c r="B82" t="s">
        <v>23</v>
      </c>
      <c r="C82" s="1" t="s">
        <v>19</v>
      </c>
      <c r="D82" s="1" t="s">
        <v>43</v>
      </c>
      <c r="E82">
        <v>689</v>
      </c>
      <c r="F82" s="2">
        <v>3</v>
      </c>
      <c r="G82" s="2">
        <v>300</v>
      </c>
      <c r="H82" s="2">
        <v>206700</v>
      </c>
      <c r="I82" s="2">
        <v>6201</v>
      </c>
      <c r="J82" s="2">
        <v>200499</v>
      </c>
      <c r="K82" s="2">
        <v>172250</v>
      </c>
      <c r="L82" s="2">
        <v>28249</v>
      </c>
      <c r="M82" s="3">
        <v>41791</v>
      </c>
      <c r="N82" s="4">
        <v>6</v>
      </c>
      <c r="O82" s="1" t="s">
        <v>26</v>
      </c>
      <c r="P82" s="5" t="s">
        <v>22</v>
      </c>
      <c r="Q82" s="2">
        <f>sales[[#This Row],[Profit]]/sales[[#This Row],[Units Sold]]</f>
        <v>41</v>
      </c>
    </row>
    <row r="83" spans="1:17" x14ac:dyDescent="0.25">
      <c r="A83" t="s">
        <v>31</v>
      </c>
      <c r="B83" t="s">
        <v>37</v>
      </c>
      <c r="C83" s="1" t="s">
        <v>19</v>
      </c>
      <c r="D83" s="1" t="s">
        <v>43</v>
      </c>
      <c r="E83">
        <v>1947</v>
      </c>
      <c r="F83" s="2">
        <v>3</v>
      </c>
      <c r="G83" s="2">
        <v>12</v>
      </c>
      <c r="H83" s="2">
        <v>23364</v>
      </c>
      <c r="I83" s="2">
        <v>700.92</v>
      </c>
      <c r="J83" s="2">
        <v>22663.08</v>
      </c>
      <c r="K83" s="2">
        <v>5841</v>
      </c>
      <c r="L83" s="2">
        <v>16822.080000000002</v>
      </c>
      <c r="M83" s="3">
        <v>41883</v>
      </c>
      <c r="N83" s="4">
        <v>9</v>
      </c>
      <c r="O83" s="1" t="s">
        <v>36</v>
      </c>
      <c r="P83" s="5" t="s">
        <v>22</v>
      </c>
      <c r="Q83" s="2">
        <f>sales[[#This Row],[Profit]]/sales[[#This Row],[Units Sold]]</f>
        <v>8.64</v>
      </c>
    </row>
    <row r="84" spans="1:17" x14ac:dyDescent="0.25">
      <c r="A84" t="s">
        <v>17</v>
      </c>
      <c r="B84" t="s">
        <v>23</v>
      </c>
      <c r="C84" s="1" t="s">
        <v>29</v>
      </c>
      <c r="D84" s="1" t="s">
        <v>43</v>
      </c>
      <c r="E84">
        <v>1958</v>
      </c>
      <c r="F84" s="2">
        <v>5</v>
      </c>
      <c r="G84" s="2">
        <v>7</v>
      </c>
      <c r="H84" s="2">
        <v>13706</v>
      </c>
      <c r="I84" s="2">
        <v>411.18</v>
      </c>
      <c r="J84" s="2">
        <v>13294.82</v>
      </c>
      <c r="K84" s="2">
        <v>9790</v>
      </c>
      <c r="L84" s="2">
        <v>3504.8199999999997</v>
      </c>
      <c r="M84" s="3">
        <v>41671</v>
      </c>
      <c r="N84" s="4">
        <v>2</v>
      </c>
      <c r="O84" s="1" t="s">
        <v>39</v>
      </c>
      <c r="P84" s="5" t="s">
        <v>22</v>
      </c>
      <c r="Q84" s="2">
        <f>sales[[#This Row],[Profit]]/sales[[#This Row],[Units Sold]]</f>
        <v>1.7899999999999998</v>
      </c>
    </row>
    <row r="85" spans="1:17" x14ac:dyDescent="0.25">
      <c r="A85" t="s">
        <v>31</v>
      </c>
      <c r="B85" t="s">
        <v>25</v>
      </c>
      <c r="C85" s="1" t="s">
        <v>29</v>
      </c>
      <c r="D85" s="1" t="s">
        <v>43</v>
      </c>
      <c r="E85">
        <v>1901</v>
      </c>
      <c r="F85" s="2">
        <v>5</v>
      </c>
      <c r="G85" s="2">
        <v>12</v>
      </c>
      <c r="H85" s="2">
        <v>22812</v>
      </c>
      <c r="I85" s="2">
        <v>684.36</v>
      </c>
      <c r="J85" s="2">
        <v>22127.64</v>
      </c>
      <c r="K85" s="2">
        <v>5703</v>
      </c>
      <c r="L85" s="2">
        <v>16424.64</v>
      </c>
      <c r="M85" s="3">
        <v>41791</v>
      </c>
      <c r="N85" s="4">
        <v>6</v>
      </c>
      <c r="O85" s="1" t="s">
        <v>26</v>
      </c>
      <c r="P85" s="5" t="s">
        <v>22</v>
      </c>
      <c r="Q85" s="2">
        <f>sales[[#This Row],[Profit]]/sales[[#This Row],[Units Sold]]</f>
        <v>8.64</v>
      </c>
    </row>
    <row r="86" spans="1:17" x14ac:dyDescent="0.25">
      <c r="A86" t="s">
        <v>17</v>
      </c>
      <c r="B86" t="s">
        <v>25</v>
      </c>
      <c r="C86" s="1" t="s">
        <v>29</v>
      </c>
      <c r="D86" s="1" t="s">
        <v>43</v>
      </c>
      <c r="E86">
        <v>544</v>
      </c>
      <c r="F86" s="2">
        <v>5</v>
      </c>
      <c r="G86" s="2">
        <v>7</v>
      </c>
      <c r="H86" s="2">
        <v>3808</v>
      </c>
      <c r="I86" s="2">
        <v>114.24</v>
      </c>
      <c r="J86" s="2">
        <v>3693.76</v>
      </c>
      <c r="K86" s="2">
        <v>2720</v>
      </c>
      <c r="L86" s="2">
        <v>973.76000000000022</v>
      </c>
      <c r="M86" s="3">
        <v>41883</v>
      </c>
      <c r="N86" s="4">
        <v>9</v>
      </c>
      <c r="O86" s="1" t="s">
        <v>36</v>
      </c>
      <c r="P86" s="5" t="s">
        <v>22</v>
      </c>
      <c r="Q86" s="2">
        <f>sales[[#This Row],[Profit]]/sales[[#This Row],[Units Sold]]</f>
        <v>1.7900000000000005</v>
      </c>
    </row>
    <row r="87" spans="1:17" x14ac:dyDescent="0.25">
      <c r="A87" t="s">
        <v>32</v>
      </c>
      <c r="B87" t="s">
        <v>25</v>
      </c>
      <c r="C87" s="1" t="s">
        <v>29</v>
      </c>
      <c r="D87" s="1" t="s">
        <v>43</v>
      </c>
      <c r="E87">
        <v>1287</v>
      </c>
      <c r="F87" s="2">
        <v>5</v>
      </c>
      <c r="G87" s="2">
        <v>125</v>
      </c>
      <c r="H87" s="2">
        <v>160875</v>
      </c>
      <c r="I87" s="2">
        <v>4826.25</v>
      </c>
      <c r="J87" s="2">
        <v>156048.75</v>
      </c>
      <c r="K87" s="2">
        <v>154440</v>
      </c>
      <c r="L87" s="2">
        <v>1608.75</v>
      </c>
      <c r="M87" s="3">
        <v>41974</v>
      </c>
      <c r="N87" s="4">
        <v>12</v>
      </c>
      <c r="O87" s="1" t="s">
        <v>28</v>
      </c>
      <c r="P87" s="5" t="s">
        <v>22</v>
      </c>
      <c r="Q87" s="2">
        <f>sales[[#This Row],[Profit]]/sales[[#This Row],[Units Sold]]</f>
        <v>1.25</v>
      </c>
    </row>
    <row r="88" spans="1:17" x14ac:dyDescent="0.25">
      <c r="A88" t="s">
        <v>32</v>
      </c>
      <c r="B88" t="s">
        <v>23</v>
      </c>
      <c r="C88" s="1" t="s">
        <v>29</v>
      </c>
      <c r="D88" s="1" t="s">
        <v>43</v>
      </c>
      <c r="E88">
        <v>1706</v>
      </c>
      <c r="F88" s="2">
        <v>5</v>
      </c>
      <c r="G88" s="2">
        <v>125</v>
      </c>
      <c r="H88" s="2">
        <v>213250</v>
      </c>
      <c r="I88" s="2">
        <v>6397.5</v>
      </c>
      <c r="J88" s="2">
        <v>206852.5</v>
      </c>
      <c r="K88" s="2">
        <v>204720</v>
      </c>
      <c r="L88" s="2">
        <v>2132.5</v>
      </c>
      <c r="M88" s="3">
        <v>41974</v>
      </c>
      <c r="N88" s="4">
        <v>12</v>
      </c>
      <c r="O88" s="1" t="s">
        <v>28</v>
      </c>
      <c r="P88" s="5" t="s">
        <v>22</v>
      </c>
      <c r="Q88" s="2">
        <f>sales[[#This Row],[Profit]]/sales[[#This Row],[Units Sold]]</f>
        <v>1.25</v>
      </c>
    </row>
    <row r="89" spans="1:17" x14ac:dyDescent="0.25">
      <c r="A89" t="s">
        <v>34</v>
      </c>
      <c r="B89" t="s">
        <v>25</v>
      </c>
      <c r="C89" s="1" t="s">
        <v>38</v>
      </c>
      <c r="D89" s="1" t="s">
        <v>43</v>
      </c>
      <c r="E89">
        <v>2434.5</v>
      </c>
      <c r="F89" s="2">
        <v>10</v>
      </c>
      <c r="G89" s="2">
        <v>300</v>
      </c>
      <c r="H89" s="2">
        <v>730350</v>
      </c>
      <c r="I89" s="2">
        <v>21910.5</v>
      </c>
      <c r="J89" s="2">
        <v>708439.5</v>
      </c>
      <c r="K89" s="2">
        <v>608625</v>
      </c>
      <c r="L89" s="2">
        <v>99814.5</v>
      </c>
      <c r="M89" s="3">
        <v>41640</v>
      </c>
      <c r="N89" s="4">
        <v>1</v>
      </c>
      <c r="O89" s="1" t="s">
        <v>21</v>
      </c>
      <c r="P89" s="5" t="s">
        <v>22</v>
      </c>
      <c r="Q89" s="2">
        <f>sales[[#This Row],[Profit]]/sales[[#This Row],[Units Sold]]</f>
        <v>41</v>
      </c>
    </row>
    <row r="90" spans="1:17" x14ac:dyDescent="0.25">
      <c r="A90" t="s">
        <v>32</v>
      </c>
      <c r="B90" t="s">
        <v>18</v>
      </c>
      <c r="C90" s="1" t="s">
        <v>38</v>
      </c>
      <c r="D90" s="1" t="s">
        <v>43</v>
      </c>
      <c r="E90">
        <v>1774</v>
      </c>
      <c r="F90" s="2">
        <v>10</v>
      </c>
      <c r="G90" s="2">
        <v>125</v>
      </c>
      <c r="H90" s="2">
        <v>221750</v>
      </c>
      <c r="I90" s="2">
        <v>6652.5</v>
      </c>
      <c r="J90" s="2">
        <v>215097.5</v>
      </c>
      <c r="K90" s="2">
        <v>212880</v>
      </c>
      <c r="L90" s="2">
        <v>2217.5</v>
      </c>
      <c r="M90" s="3">
        <v>41699</v>
      </c>
      <c r="N90" s="4">
        <v>3</v>
      </c>
      <c r="O90" s="1" t="s">
        <v>30</v>
      </c>
      <c r="P90" s="5" t="s">
        <v>22</v>
      </c>
      <c r="Q90" s="2">
        <f>sales[[#This Row],[Profit]]/sales[[#This Row],[Units Sold]]</f>
        <v>1.25</v>
      </c>
    </row>
    <row r="91" spans="1:17" x14ac:dyDescent="0.25">
      <c r="A91" t="s">
        <v>31</v>
      </c>
      <c r="B91" t="s">
        <v>25</v>
      </c>
      <c r="C91" s="1" t="s">
        <v>38</v>
      </c>
      <c r="D91" s="1" t="s">
        <v>43</v>
      </c>
      <c r="E91">
        <v>1901</v>
      </c>
      <c r="F91" s="2">
        <v>10</v>
      </c>
      <c r="G91" s="2">
        <v>12</v>
      </c>
      <c r="H91" s="2">
        <v>22812</v>
      </c>
      <c r="I91" s="2">
        <v>684.36</v>
      </c>
      <c r="J91" s="2">
        <v>22127.64</v>
      </c>
      <c r="K91" s="2">
        <v>5703</v>
      </c>
      <c r="L91" s="2">
        <v>16424.64</v>
      </c>
      <c r="M91" s="3">
        <v>41791</v>
      </c>
      <c r="N91" s="4">
        <v>6</v>
      </c>
      <c r="O91" s="1" t="s">
        <v>26</v>
      </c>
      <c r="P91" s="5" t="s">
        <v>22</v>
      </c>
      <c r="Q91" s="2">
        <f>sales[[#This Row],[Profit]]/sales[[#This Row],[Units Sold]]</f>
        <v>8.64</v>
      </c>
    </row>
    <row r="92" spans="1:17" x14ac:dyDescent="0.25">
      <c r="A92" t="s">
        <v>34</v>
      </c>
      <c r="B92" t="s">
        <v>23</v>
      </c>
      <c r="C92" s="1" t="s">
        <v>38</v>
      </c>
      <c r="D92" s="1" t="s">
        <v>43</v>
      </c>
      <c r="E92">
        <v>689</v>
      </c>
      <c r="F92" s="2">
        <v>10</v>
      </c>
      <c r="G92" s="2">
        <v>300</v>
      </c>
      <c r="H92" s="2">
        <v>206700</v>
      </c>
      <c r="I92" s="2">
        <v>6201</v>
      </c>
      <c r="J92" s="2">
        <v>200499</v>
      </c>
      <c r="K92" s="2">
        <v>172250</v>
      </c>
      <c r="L92" s="2">
        <v>28249</v>
      </c>
      <c r="M92" s="3">
        <v>41791</v>
      </c>
      <c r="N92" s="4">
        <v>6</v>
      </c>
      <c r="O92" s="1" t="s">
        <v>26</v>
      </c>
      <c r="P92" s="5" t="s">
        <v>22</v>
      </c>
      <c r="Q92" s="2">
        <f>sales[[#This Row],[Profit]]/sales[[#This Row],[Units Sold]]</f>
        <v>41</v>
      </c>
    </row>
    <row r="93" spans="1:17" x14ac:dyDescent="0.25">
      <c r="A93" t="s">
        <v>32</v>
      </c>
      <c r="B93" t="s">
        <v>23</v>
      </c>
      <c r="C93" s="1" t="s">
        <v>38</v>
      </c>
      <c r="D93" s="1" t="s">
        <v>43</v>
      </c>
      <c r="E93">
        <v>1570</v>
      </c>
      <c r="F93" s="2">
        <v>10</v>
      </c>
      <c r="G93" s="2">
        <v>125</v>
      </c>
      <c r="H93" s="2">
        <v>196250</v>
      </c>
      <c r="I93" s="2">
        <v>5887.5</v>
      </c>
      <c r="J93" s="2">
        <v>190362.5</v>
      </c>
      <c r="K93" s="2">
        <v>188400</v>
      </c>
      <c r="L93" s="2">
        <v>1962.5</v>
      </c>
      <c r="M93" s="3">
        <v>41791</v>
      </c>
      <c r="N93" s="4">
        <v>6</v>
      </c>
      <c r="O93" s="1" t="s">
        <v>26</v>
      </c>
      <c r="P93" s="5" t="s">
        <v>22</v>
      </c>
      <c r="Q93" s="2">
        <f>sales[[#This Row],[Profit]]/sales[[#This Row],[Units Sold]]</f>
        <v>1.25</v>
      </c>
    </row>
    <row r="94" spans="1:17" x14ac:dyDescent="0.25">
      <c r="A94" t="s">
        <v>31</v>
      </c>
      <c r="B94" t="s">
        <v>37</v>
      </c>
      <c r="C94" s="1" t="s">
        <v>38</v>
      </c>
      <c r="D94" s="1" t="s">
        <v>43</v>
      </c>
      <c r="E94">
        <v>1369.5</v>
      </c>
      <c r="F94" s="2">
        <v>10</v>
      </c>
      <c r="G94" s="2">
        <v>12</v>
      </c>
      <c r="H94" s="2">
        <v>16434</v>
      </c>
      <c r="I94" s="2">
        <v>493.02</v>
      </c>
      <c r="J94" s="2">
        <v>15940.98</v>
      </c>
      <c r="K94" s="2">
        <v>4108.5</v>
      </c>
      <c r="L94" s="2">
        <v>11832.48</v>
      </c>
      <c r="M94" s="3">
        <v>41821</v>
      </c>
      <c r="N94" s="4">
        <v>7</v>
      </c>
      <c r="O94" s="1" t="s">
        <v>33</v>
      </c>
      <c r="P94" s="5" t="s">
        <v>22</v>
      </c>
      <c r="Q94" s="2">
        <f>sales[[#This Row],[Profit]]/sales[[#This Row],[Units Sold]]</f>
        <v>8.64</v>
      </c>
    </row>
    <row r="95" spans="1:17" x14ac:dyDescent="0.25">
      <c r="A95" t="s">
        <v>32</v>
      </c>
      <c r="B95" t="s">
        <v>18</v>
      </c>
      <c r="C95" s="1" t="s">
        <v>38</v>
      </c>
      <c r="D95" s="1" t="s">
        <v>43</v>
      </c>
      <c r="E95">
        <v>2009</v>
      </c>
      <c r="F95" s="2">
        <v>10</v>
      </c>
      <c r="G95" s="2">
        <v>125</v>
      </c>
      <c r="H95" s="2">
        <v>251125</v>
      </c>
      <c r="I95" s="2">
        <v>7533.75</v>
      </c>
      <c r="J95" s="2">
        <v>243591.25</v>
      </c>
      <c r="K95" s="2">
        <v>241080</v>
      </c>
      <c r="L95" s="2">
        <v>2511.25</v>
      </c>
      <c r="M95" s="3">
        <v>41913</v>
      </c>
      <c r="N95" s="4">
        <v>10</v>
      </c>
      <c r="O95" s="1" t="s">
        <v>40</v>
      </c>
      <c r="P95" s="5" t="s">
        <v>22</v>
      </c>
      <c r="Q95" s="2">
        <f>sales[[#This Row],[Profit]]/sales[[#This Row],[Units Sold]]</f>
        <v>1.25</v>
      </c>
    </row>
    <row r="96" spans="1:17" x14ac:dyDescent="0.25">
      <c r="A96" t="s">
        <v>32</v>
      </c>
      <c r="B96" t="s">
        <v>25</v>
      </c>
      <c r="C96" s="1" t="s">
        <v>38</v>
      </c>
      <c r="D96" s="1" t="s">
        <v>43</v>
      </c>
      <c r="E96">
        <v>1287</v>
      </c>
      <c r="F96" s="2">
        <v>10</v>
      </c>
      <c r="G96" s="2">
        <v>125</v>
      </c>
      <c r="H96" s="2">
        <v>160875</v>
      </c>
      <c r="I96" s="2">
        <v>4826.25</v>
      </c>
      <c r="J96" s="2">
        <v>156048.75</v>
      </c>
      <c r="K96" s="2">
        <v>154440</v>
      </c>
      <c r="L96" s="2">
        <v>1608.75</v>
      </c>
      <c r="M96" s="3">
        <v>41974</v>
      </c>
      <c r="N96" s="4">
        <v>12</v>
      </c>
      <c r="O96" s="1" t="s">
        <v>28</v>
      </c>
      <c r="P96" s="5" t="s">
        <v>22</v>
      </c>
      <c r="Q96" s="2">
        <f>sales[[#This Row],[Profit]]/sales[[#This Row],[Units Sold]]</f>
        <v>1.25</v>
      </c>
    </row>
    <row r="97" spans="1:17" x14ac:dyDescent="0.25">
      <c r="A97" t="s">
        <v>32</v>
      </c>
      <c r="B97" t="s">
        <v>23</v>
      </c>
      <c r="C97" s="1" t="s">
        <v>38</v>
      </c>
      <c r="D97" s="1" t="s">
        <v>43</v>
      </c>
      <c r="E97">
        <v>1706</v>
      </c>
      <c r="F97" s="2">
        <v>10</v>
      </c>
      <c r="G97" s="2">
        <v>125</v>
      </c>
      <c r="H97" s="2">
        <v>213250</v>
      </c>
      <c r="I97" s="2">
        <v>6397.5</v>
      </c>
      <c r="J97" s="2">
        <v>206852.5</v>
      </c>
      <c r="K97" s="2">
        <v>204720</v>
      </c>
      <c r="L97" s="2">
        <v>2132.5</v>
      </c>
      <c r="M97" s="3">
        <v>41974</v>
      </c>
      <c r="N97" s="4">
        <v>12</v>
      </c>
      <c r="O97" s="1" t="s">
        <v>28</v>
      </c>
      <c r="P97" s="5" t="s">
        <v>22</v>
      </c>
      <c r="Q97" s="2">
        <f>sales[[#This Row],[Profit]]/sales[[#This Row],[Units Sold]]</f>
        <v>1.25</v>
      </c>
    </row>
    <row r="98" spans="1:17" x14ac:dyDescent="0.25">
      <c r="A98" t="s">
        <v>17</v>
      </c>
      <c r="B98" t="s">
        <v>18</v>
      </c>
      <c r="C98" s="1" t="s">
        <v>19</v>
      </c>
      <c r="D98" s="1" t="s">
        <v>43</v>
      </c>
      <c r="E98">
        <v>831</v>
      </c>
      <c r="F98" s="2">
        <v>3</v>
      </c>
      <c r="G98" s="2">
        <v>20</v>
      </c>
      <c r="H98" s="2">
        <v>16620</v>
      </c>
      <c r="I98" s="2">
        <v>498.6</v>
      </c>
      <c r="J98" s="2">
        <v>16121.4</v>
      </c>
      <c r="K98" s="2">
        <v>8310</v>
      </c>
      <c r="L98" s="2">
        <v>7811.4</v>
      </c>
      <c r="M98" s="3">
        <v>41760</v>
      </c>
      <c r="N98" s="4">
        <v>5</v>
      </c>
      <c r="O98" s="1" t="s">
        <v>44</v>
      </c>
      <c r="P98" s="5" t="s">
        <v>22</v>
      </c>
      <c r="Q98" s="2">
        <f>sales[[#This Row],[Profit]]/sales[[#This Row],[Units Sold]]</f>
        <v>9.4</v>
      </c>
    </row>
    <row r="99" spans="1:17" x14ac:dyDescent="0.25">
      <c r="A99" t="s">
        <v>24</v>
      </c>
      <c r="B99" t="s">
        <v>27</v>
      </c>
      <c r="C99" s="1" t="s">
        <v>29</v>
      </c>
      <c r="D99" s="1" t="s">
        <v>43</v>
      </c>
      <c r="E99">
        <v>2031</v>
      </c>
      <c r="F99" s="2">
        <v>5</v>
      </c>
      <c r="G99" s="2">
        <v>15</v>
      </c>
      <c r="H99" s="2">
        <v>30465</v>
      </c>
      <c r="I99" s="2">
        <v>1218.5999999999999</v>
      </c>
      <c r="J99" s="2">
        <v>29246.400000000001</v>
      </c>
      <c r="K99" s="2">
        <v>20310</v>
      </c>
      <c r="L99" s="2">
        <v>8936.4000000000015</v>
      </c>
      <c r="M99" s="3">
        <v>41913</v>
      </c>
      <c r="N99" s="4">
        <v>10</v>
      </c>
      <c r="O99" s="1" t="s">
        <v>40</v>
      </c>
      <c r="P99" s="5" t="s">
        <v>22</v>
      </c>
      <c r="Q99" s="2">
        <f>sales[[#This Row],[Profit]]/sales[[#This Row],[Units Sold]]</f>
        <v>4.4000000000000004</v>
      </c>
    </row>
    <row r="100" spans="1:17" x14ac:dyDescent="0.25">
      <c r="A100" t="s">
        <v>24</v>
      </c>
      <c r="B100" t="s">
        <v>27</v>
      </c>
      <c r="C100" s="1" t="s">
        <v>38</v>
      </c>
      <c r="D100" s="1" t="s">
        <v>43</v>
      </c>
      <c r="E100">
        <v>2031</v>
      </c>
      <c r="F100" s="2">
        <v>10</v>
      </c>
      <c r="G100" s="2">
        <v>15</v>
      </c>
      <c r="H100" s="2">
        <v>30465</v>
      </c>
      <c r="I100" s="2">
        <v>1218.5999999999999</v>
      </c>
      <c r="J100" s="2">
        <v>29246.400000000001</v>
      </c>
      <c r="K100" s="2">
        <v>20310</v>
      </c>
      <c r="L100" s="2">
        <v>8936.4000000000015</v>
      </c>
      <c r="M100" s="3">
        <v>41913</v>
      </c>
      <c r="N100" s="4">
        <v>10</v>
      </c>
      <c r="O100" s="1" t="s">
        <v>40</v>
      </c>
      <c r="P100" s="5" t="s">
        <v>22</v>
      </c>
      <c r="Q100" s="2">
        <f>sales[[#This Row],[Profit]]/sales[[#This Row],[Units Sold]]</f>
        <v>4.4000000000000004</v>
      </c>
    </row>
    <row r="101" spans="1:17" x14ac:dyDescent="0.25">
      <c r="A101" t="s">
        <v>34</v>
      </c>
      <c r="B101" t="s">
        <v>23</v>
      </c>
      <c r="C101" s="1" t="s">
        <v>19</v>
      </c>
      <c r="D101" s="1" t="s">
        <v>43</v>
      </c>
      <c r="E101">
        <v>2021</v>
      </c>
      <c r="F101" s="2">
        <v>3</v>
      </c>
      <c r="G101" s="2">
        <v>300</v>
      </c>
      <c r="H101" s="2">
        <v>606300</v>
      </c>
      <c r="I101" s="2">
        <v>24252</v>
      </c>
      <c r="J101" s="2">
        <v>582048</v>
      </c>
      <c r="K101" s="2">
        <v>505250</v>
      </c>
      <c r="L101" s="2">
        <v>76798</v>
      </c>
      <c r="M101" s="3">
        <v>41913</v>
      </c>
      <c r="N101" s="4">
        <v>10</v>
      </c>
      <c r="O101" s="1" t="s">
        <v>40</v>
      </c>
      <c r="P101" s="5" t="s">
        <v>22</v>
      </c>
      <c r="Q101" s="2">
        <f>sales[[#This Row],[Profit]]/sales[[#This Row],[Units Sold]]</f>
        <v>38</v>
      </c>
    </row>
    <row r="102" spans="1:17" x14ac:dyDescent="0.25">
      <c r="A102" t="s">
        <v>17</v>
      </c>
      <c r="B102" t="s">
        <v>37</v>
      </c>
      <c r="C102" s="1" t="s">
        <v>19</v>
      </c>
      <c r="D102" s="1" t="s">
        <v>43</v>
      </c>
      <c r="E102">
        <v>274</v>
      </c>
      <c r="F102" s="2">
        <v>3</v>
      </c>
      <c r="G102" s="2">
        <v>350</v>
      </c>
      <c r="H102" s="2">
        <v>95900</v>
      </c>
      <c r="I102" s="2">
        <v>3836</v>
      </c>
      <c r="J102" s="2">
        <v>92064</v>
      </c>
      <c r="K102" s="2">
        <v>71240</v>
      </c>
      <c r="L102" s="2">
        <v>20824</v>
      </c>
      <c r="M102" s="3">
        <v>41974</v>
      </c>
      <c r="N102" s="4">
        <v>12</v>
      </c>
      <c r="O102" s="1" t="s">
        <v>28</v>
      </c>
      <c r="P102" s="5" t="s">
        <v>22</v>
      </c>
      <c r="Q102" s="2">
        <f>sales[[#This Row],[Profit]]/sales[[#This Row],[Units Sold]]</f>
        <v>76</v>
      </c>
    </row>
    <row r="103" spans="1:17" x14ac:dyDescent="0.25">
      <c r="A103" t="s">
        <v>24</v>
      </c>
      <c r="B103" t="s">
        <v>18</v>
      </c>
      <c r="C103" s="1" t="s">
        <v>29</v>
      </c>
      <c r="D103" s="1" t="s">
        <v>43</v>
      </c>
      <c r="E103">
        <v>1967</v>
      </c>
      <c r="F103" s="2">
        <v>5</v>
      </c>
      <c r="G103" s="2">
        <v>15</v>
      </c>
      <c r="H103" s="2">
        <v>29505</v>
      </c>
      <c r="I103" s="2">
        <v>1180.2</v>
      </c>
      <c r="J103" s="2">
        <v>28324.799999999999</v>
      </c>
      <c r="K103" s="2">
        <v>19670</v>
      </c>
      <c r="L103" s="2">
        <v>8654.7999999999993</v>
      </c>
      <c r="M103" s="3">
        <v>41699</v>
      </c>
      <c r="N103" s="4">
        <v>3</v>
      </c>
      <c r="O103" s="1" t="s">
        <v>30</v>
      </c>
      <c r="P103" s="5" t="s">
        <v>22</v>
      </c>
      <c r="Q103" s="2">
        <f>sales[[#This Row],[Profit]]/sales[[#This Row],[Units Sold]]</f>
        <v>4.3999999999999995</v>
      </c>
    </row>
    <row r="104" spans="1:17" x14ac:dyDescent="0.25">
      <c r="A104" t="s">
        <v>34</v>
      </c>
      <c r="B104" t="s">
        <v>23</v>
      </c>
      <c r="C104" s="1" t="s">
        <v>29</v>
      </c>
      <c r="D104" s="1" t="s">
        <v>43</v>
      </c>
      <c r="E104">
        <v>1859</v>
      </c>
      <c r="F104" s="2">
        <v>5</v>
      </c>
      <c r="G104" s="2">
        <v>300</v>
      </c>
      <c r="H104" s="2">
        <v>557700</v>
      </c>
      <c r="I104" s="2">
        <v>22308</v>
      </c>
      <c r="J104" s="2">
        <v>535392</v>
      </c>
      <c r="K104" s="2">
        <v>464750</v>
      </c>
      <c r="L104" s="2">
        <v>70642</v>
      </c>
      <c r="M104" s="3">
        <v>41852</v>
      </c>
      <c r="N104" s="4">
        <v>8</v>
      </c>
      <c r="O104" s="1" t="s">
        <v>35</v>
      </c>
      <c r="P104" s="5" t="s">
        <v>22</v>
      </c>
      <c r="Q104" s="2">
        <f>sales[[#This Row],[Profit]]/sales[[#This Row],[Units Sold]]</f>
        <v>38</v>
      </c>
    </row>
    <row r="105" spans="1:17" x14ac:dyDescent="0.25">
      <c r="A105" t="s">
        <v>34</v>
      </c>
      <c r="B105" t="s">
        <v>23</v>
      </c>
      <c r="C105" s="1" t="s">
        <v>29</v>
      </c>
      <c r="D105" s="1" t="s">
        <v>43</v>
      </c>
      <c r="E105">
        <v>2021</v>
      </c>
      <c r="F105" s="2">
        <v>5</v>
      </c>
      <c r="G105" s="2">
        <v>300</v>
      </c>
      <c r="H105" s="2">
        <v>606300</v>
      </c>
      <c r="I105" s="2">
        <v>24252</v>
      </c>
      <c r="J105" s="2">
        <v>582048</v>
      </c>
      <c r="K105" s="2">
        <v>505250</v>
      </c>
      <c r="L105" s="2">
        <v>76798</v>
      </c>
      <c r="M105" s="3">
        <v>41913</v>
      </c>
      <c r="N105" s="4">
        <v>10</v>
      </c>
      <c r="O105" s="1" t="s">
        <v>40</v>
      </c>
      <c r="P105" s="5" t="s">
        <v>22</v>
      </c>
      <c r="Q105" s="2">
        <f>sales[[#This Row],[Profit]]/sales[[#This Row],[Units Sold]]</f>
        <v>38</v>
      </c>
    </row>
    <row r="106" spans="1:17" x14ac:dyDescent="0.25">
      <c r="A106" t="s">
        <v>32</v>
      </c>
      <c r="B106" t="s">
        <v>27</v>
      </c>
      <c r="C106" s="1" t="s">
        <v>29</v>
      </c>
      <c r="D106" s="1" t="s">
        <v>43</v>
      </c>
      <c r="E106">
        <v>1138</v>
      </c>
      <c r="F106" s="2">
        <v>5</v>
      </c>
      <c r="G106" s="2">
        <v>125</v>
      </c>
      <c r="H106" s="2">
        <v>142250</v>
      </c>
      <c r="I106" s="2">
        <v>5690</v>
      </c>
      <c r="J106" s="2">
        <v>136560</v>
      </c>
      <c r="K106" s="2">
        <v>136560</v>
      </c>
      <c r="L106" s="2">
        <v>0</v>
      </c>
      <c r="M106" s="3">
        <v>41974</v>
      </c>
      <c r="N106" s="4">
        <v>12</v>
      </c>
      <c r="O106" s="1" t="s">
        <v>28</v>
      </c>
      <c r="P106" s="5" t="s">
        <v>22</v>
      </c>
      <c r="Q106" s="2">
        <f>sales[[#This Row],[Profit]]/sales[[#This Row],[Units Sold]]</f>
        <v>0</v>
      </c>
    </row>
    <row r="107" spans="1:17" x14ac:dyDescent="0.25">
      <c r="A107" t="s">
        <v>17</v>
      </c>
      <c r="B107" t="s">
        <v>18</v>
      </c>
      <c r="C107" s="1" t="s">
        <v>38</v>
      </c>
      <c r="D107" s="1" t="s">
        <v>43</v>
      </c>
      <c r="E107">
        <v>4251</v>
      </c>
      <c r="F107" s="2">
        <v>10</v>
      </c>
      <c r="G107" s="2">
        <v>7</v>
      </c>
      <c r="H107" s="2">
        <v>29757</v>
      </c>
      <c r="I107" s="2">
        <v>1190.28</v>
      </c>
      <c r="J107" s="2">
        <v>28566.720000000001</v>
      </c>
      <c r="K107" s="2">
        <v>21255</v>
      </c>
      <c r="L107" s="2">
        <v>7311.7199999999993</v>
      </c>
      <c r="M107" s="3">
        <v>41640</v>
      </c>
      <c r="N107" s="4">
        <v>1</v>
      </c>
      <c r="O107" s="1" t="s">
        <v>21</v>
      </c>
      <c r="P107" s="5" t="s">
        <v>22</v>
      </c>
      <c r="Q107" s="2">
        <f>sales[[#This Row],[Profit]]/sales[[#This Row],[Units Sold]]</f>
        <v>1.7199999999999998</v>
      </c>
    </row>
    <row r="108" spans="1:17" x14ac:dyDescent="0.25">
      <c r="A108" t="s">
        <v>32</v>
      </c>
      <c r="B108" t="s">
        <v>23</v>
      </c>
      <c r="C108" s="1" t="s">
        <v>38</v>
      </c>
      <c r="D108" s="1" t="s">
        <v>43</v>
      </c>
      <c r="E108">
        <v>795</v>
      </c>
      <c r="F108" s="2">
        <v>10</v>
      </c>
      <c r="G108" s="2">
        <v>125</v>
      </c>
      <c r="H108" s="2">
        <v>99375</v>
      </c>
      <c r="I108" s="2">
        <v>3975</v>
      </c>
      <c r="J108" s="2">
        <v>95400</v>
      </c>
      <c r="K108" s="2">
        <v>95400</v>
      </c>
      <c r="L108" s="2">
        <v>0</v>
      </c>
      <c r="M108" s="3">
        <v>41699</v>
      </c>
      <c r="N108" s="4">
        <v>3</v>
      </c>
      <c r="O108" s="1" t="s">
        <v>30</v>
      </c>
      <c r="P108" s="5" t="s">
        <v>22</v>
      </c>
      <c r="Q108" s="2">
        <f>sales[[#This Row],[Profit]]/sales[[#This Row],[Units Sold]]</f>
        <v>0</v>
      </c>
    </row>
    <row r="109" spans="1:17" x14ac:dyDescent="0.25">
      <c r="A109" t="s">
        <v>34</v>
      </c>
      <c r="B109" t="s">
        <v>23</v>
      </c>
      <c r="C109" s="1" t="s">
        <v>38</v>
      </c>
      <c r="D109" s="1" t="s">
        <v>43</v>
      </c>
      <c r="E109">
        <v>1414.5</v>
      </c>
      <c r="F109" s="2">
        <v>10</v>
      </c>
      <c r="G109" s="2">
        <v>300</v>
      </c>
      <c r="H109" s="2">
        <v>424350</v>
      </c>
      <c r="I109" s="2">
        <v>16974</v>
      </c>
      <c r="J109" s="2">
        <v>407376</v>
      </c>
      <c r="K109" s="2">
        <v>353625</v>
      </c>
      <c r="L109" s="2">
        <v>53751</v>
      </c>
      <c r="M109" s="3">
        <v>41730</v>
      </c>
      <c r="N109" s="4">
        <v>4</v>
      </c>
      <c r="O109" s="1" t="s">
        <v>42</v>
      </c>
      <c r="P109" s="5" t="s">
        <v>22</v>
      </c>
      <c r="Q109" s="2">
        <f>sales[[#This Row],[Profit]]/sales[[#This Row],[Units Sold]]</f>
        <v>38</v>
      </c>
    </row>
    <row r="110" spans="1:17" x14ac:dyDescent="0.25">
      <c r="A110" t="s">
        <v>34</v>
      </c>
      <c r="B110" t="s">
        <v>37</v>
      </c>
      <c r="C110" s="1" t="s">
        <v>38</v>
      </c>
      <c r="D110" s="1" t="s">
        <v>43</v>
      </c>
      <c r="E110">
        <v>2918</v>
      </c>
      <c r="F110" s="2">
        <v>10</v>
      </c>
      <c r="G110" s="2">
        <v>300</v>
      </c>
      <c r="H110" s="2">
        <v>875400</v>
      </c>
      <c r="I110" s="2">
        <v>35016</v>
      </c>
      <c r="J110" s="2">
        <v>840384</v>
      </c>
      <c r="K110" s="2">
        <v>729500</v>
      </c>
      <c r="L110" s="2">
        <v>110884</v>
      </c>
      <c r="M110" s="3">
        <v>41760</v>
      </c>
      <c r="N110" s="4">
        <v>5</v>
      </c>
      <c r="O110" s="1" t="s">
        <v>44</v>
      </c>
      <c r="P110" s="5" t="s">
        <v>22</v>
      </c>
      <c r="Q110" s="2">
        <f>sales[[#This Row],[Profit]]/sales[[#This Row],[Units Sold]]</f>
        <v>38</v>
      </c>
    </row>
    <row r="111" spans="1:17" x14ac:dyDescent="0.25">
      <c r="A111" t="s">
        <v>17</v>
      </c>
      <c r="B111" t="s">
        <v>37</v>
      </c>
      <c r="C111" s="1" t="s">
        <v>38</v>
      </c>
      <c r="D111" s="1" t="s">
        <v>43</v>
      </c>
      <c r="E111">
        <v>3450</v>
      </c>
      <c r="F111" s="2">
        <v>10</v>
      </c>
      <c r="G111" s="2">
        <v>350</v>
      </c>
      <c r="H111" s="2">
        <v>1207500</v>
      </c>
      <c r="I111" s="2">
        <v>48300</v>
      </c>
      <c r="J111" s="2">
        <v>1159200</v>
      </c>
      <c r="K111" s="2">
        <v>897000</v>
      </c>
      <c r="L111" s="2">
        <v>262200</v>
      </c>
      <c r="M111" s="3">
        <v>41821</v>
      </c>
      <c r="N111" s="4">
        <v>7</v>
      </c>
      <c r="O111" s="1" t="s">
        <v>33</v>
      </c>
      <c r="P111" s="5" t="s">
        <v>22</v>
      </c>
      <c r="Q111" s="2">
        <f>sales[[#This Row],[Profit]]/sales[[#This Row],[Units Sold]]</f>
        <v>76</v>
      </c>
    </row>
    <row r="112" spans="1:17" x14ac:dyDescent="0.25">
      <c r="A112" t="s">
        <v>32</v>
      </c>
      <c r="B112" t="s">
        <v>25</v>
      </c>
      <c r="C112" s="1" t="s">
        <v>38</v>
      </c>
      <c r="D112" s="1" t="s">
        <v>43</v>
      </c>
      <c r="E112">
        <v>2988</v>
      </c>
      <c r="F112" s="2">
        <v>10</v>
      </c>
      <c r="G112" s="2">
        <v>125</v>
      </c>
      <c r="H112" s="2">
        <v>373500</v>
      </c>
      <c r="I112" s="2">
        <v>14940</v>
      </c>
      <c r="J112" s="2">
        <v>358560</v>
      </c>
      <c r="K112" s="2">
        <v>358560</v>
      </c>
      <c r="L112" s="2">
        <v>0</v>
      </c>
      <c r="M112" s="3">
        <v>41821</v>
      </c>
      <c r="N112" s="4">
        <v>7</v>
      </c>
      <c r="O112" s="1" t="s">
        <v>33</v>
      </c>
      <c r="P112" s="5" t="s">
        <v>22</v>
      </c>
      <c r="Q112" s="2">
        <f>sales[[#This Row],[Profit]]/sales[[#This Row],[Units Sold]]</f>
        <v>0</v>
      </c>
    </row>
    <row r="113" spans="1:17" x14ac:dyDescent="0.25">
      <c r="A113" t="s">
        <v>24</v>
      </c>
      <c r="B113" t="s">
        <v>18</v>
      </c>
      <c r="C113" s="1" t="s">
        <v>38</v>
      </c>
      <c r="D113" s="1" t="s">
        <v>43</v>
      </c>
      <c r="E113">
        <v>218</v>
      </c>
      <c r="F113" s="2">
        <v>10</v>
      </c>
      <c r="G113" s="2">
        <v>15</v>
      </c>
      <c r="H113" s="2">
        <v>3270</v>
      </c>
      <c r="I113" s="2">
        <v>130.80000000000001</v>
      </c>
      <c r="J113" s="2">
        <v>3139.2</v>
      </c>
      <c r="K113" s="2">
        <v>2180</v>
      </c>
      <c r="L113" s="2">
        <v>959.19999999999982</v>
      </c>
      <c r="M113" s="3">
        <v>41883</v>
      </c>
      <c r="N113" s="4">
        <v>9</v>
      </c>
      <c r="O113" s="1" t="s">
        <v>36</v>
      </c>
      <c r="P113" s="5" t="s">
        <v>22</v>
      </c>
      <c r="Q113" s="2">
        <f>sales[[#This Row],[Profit]]/sales[[#This Row],[Units Sold]]</f>
        <v>4.3999999999999995</v>
      </c>
    </row>
    <row r="114" spans="1:17" x14ac:dyDescent="0.25">
      <c r="A114" t="s">
        <v>17</v>
      </c>
      <c r="B114" t="s">
        <v>18</v>
      </c>
      <c r="C114" s="1" t="s">
        <v>38</v>
      </c>
      <c r="D114" s="1" t="s">
        <v>43</v>
      </c>
      <c r="E114">
        <v>2074</v>
      </c>
      <c r="F114" s="2">
        <v>10</v>
      </c>
      <c r="G114" s="2">
        <v>20</v>
      </c>
      <c r="H114" s="2">
        <v>41480</v>
      </c>
      <c r="I114" s="2">
        <v>1659.2</v>
      </c>
      <c r="J114" s="2">
        <v>39820.800000000003</v>
      </c>
      <c r="K114" s="2">
        <v>20740</v>
      </c>
      <c r="L114" s="2">
        <v>19080.800000000003</v>
      </c>
      <c r="M114" s="3">
        <v>41883</v>
      </c>
      <c r="N114" s="4">
        <v>9</v>
      </c>
      <c r="O114" s="1" t="s">
        <v>36</v>
      </c>
      <c r="P114" s="5" t="s">
        <v>22</v>
      </c>
      <c r="Q114" s="2">
        <f>sales[[#This Row],[Profit]]/sales[[#This Row],[Units Sold]]</f>
        <v>9.2000000000000011</v>
      </c>
    </row>
    <row r="115" spans="1:17" x14ac:dyDescent="0.25">
      <c r="A115" t="s">
        <v>17</v>
      </c>
      <c r="B115" t="s">
        <v>37</v>
      </c>
      <c r="C115" s="1" t="s">
        <v>38</v>
      </c>
      <c r="D115" s="1" t="s">
        <v>43</v>
      </c>
      <c r="E115">
        <v>1056</v>
      </c>
      <c r="F115" s="2">
        <v>10</v>
      </c>
      <c r="G115" s="2">
        <v>20</v>
      </c>
      <c r="H115" s="2">
        <v>21120</v>
      </c>
      <c r="I115" s="2">
        <v>844.8</v>
      </c>
      <c r="J115" s="2">
        <v>20275.2</v>
      </c>
      <c r="K115" s="2">
        <v>10560</v>
      </c>
      <c r="L115" s="2">
        <v>9715.2000000000007</v>
      </c>
      <c r="M115" s="3">
        <v>41883</v>
      </c>
      <c r="N115" s="4">
        <v>9</v>
      </c>
      <c r="O115" s="1" t="s">
        <v>36</v>
      </c>
      <c r="P115" s="5" t="s">
        <v>22</v>
      </c>
      <c r="Q115" s="2">
        <f>sales[[#This Row],[Profit]]/sales[[#This Row],[Units Sold]]</f>
        <v>9.2000000000000011</v>
      </c>
    </row>
    <row r="116" spans="1:17" x14ac:dyDescent="0.25">
      <c r="A116" t="s">
        <v>17</v>
      </c>
      <c r="B116" t="s">
        <v>37</v>
      </c>
      <c r="C116" s="1" t="s">
        <v>38</v>
      </c>
      <c r="D116" s="1" t="s">
        <v>43</v>
      </c>
      <c r="E116">
        <v>274</v>
      </c>
      <c r="F116" s="2">
        <v>10</v>
      </c>
      <c r="G116" s="2">
        <v>350</v>
      </c>
      <c r="H116" s="2">
        <v>95900</v>
      </c>
      <c r="I116" s="2">
        <v>3836</v>
      </c>
      <c r="J116" s="2">
        <v>92064</v>
      </c>
      <c r="K116" s="2">
        <v>71240</v>
      </c>
      <c r="L116" s="2">
        <v>20824</v>
      </c>
      <c r="M116" s="3">
        <v>41974</v>
      </c>
      <c r="N116" s="4">
        <v>12</v>
      </c>
      <c r="O116" s="1" t="s">
        <v>28</v>
      </c>
      <c r="P116" s="5" t="s">
        <v>22</v>
      </c>
      <c r="Q116" s="2">
        <f>sales[[#This Row],[Profit]]/sales[[#This Row],[Units Sold]]</f>
        <v>76</v>
      </c>
    </row>
    <row r="117" spans="1:17" x14ac:dyDescent="0.25">
      <c r="A117" t="s">
        <v>32</v>
      </c>
      <c r="B117" t="s">
        <v>27</v>
      </c>
      <c r="C117" s="1" t="s">
        <v>38</v>
      </c>
      <c r="D117" s="1" t="s">
        <v>43</v>
      </c>
      <c r="E117">
        <v>1138</v>
      </c>
      <c r="F117" s="2">
        <v>10</v>
      </c>
      <c r="G117" s="2">
        <v>125</v>
      </c>
      <c r="H117" s="2">
        <v>142250</v>
      </c>
      <c r="I117" s="2">
        <v>5690</v>
      </c>
      <c r="J117" s="2">
        <v>136560</v>
      </c>
      <c r="K117" s="2">
        <v>136560</v>
      </c>
      <c r="L117" s="2">
        <v>0</v>
      </c>
      <c r="M117" s="3">
        <v>41974</v>
      </c>
      <c r="N117" s="4">
        <v>12</v>
      </c>
      <c r="O117" s="1" t="s">
        <v>28</v>
      </c>
      <c r="P117" s="5" t="s">
        <v>22</v>
      </c>
      <c r="Q117" s="2">
        <f>sales[[#This Row],[Profit]]/sales[[#This Row],[Units Sold]]</f>
        <v>0</v>
      </c>
    </row>
    <row r="118" spans="1:17" x14ac:dyDescent="0.25">
      <c r="A118" t="s">
        <v>17</v>
      </c>
      <c r="B118" t="s">
        <v>27</v>
      </c>
      <c r="C118" s="1" t="s">
        <v>41</v>
      </c>
      <c r="D118" s="1" t="s">
        <v>43</v>
      </c>
      <c r="E118">
        <v>1865</v>
      </c>
      <c r="F118" s="2">
        <v>260</v>
      </c>
      <c r="G118" s="2">
        <v>350</v>
      </c>
      <c r="H118" s="2">
        <v>652750</v>
      </c>
      <c r="I118" s="2">
        <v>26110</v>
      </c>
      <c r="J118" s="2">
        <v>626640</v>
      </c>
      <c r="K118" s="2">
        <v>484900</v>
      </c>
      <c r="L118" s="2">
        <v>141740</v>
      </c>
      <c r="M118" s="3">
        <v>41671</v>
      </c>
      <c r="N118" s="4">
        <v>2</v>
      </c>
      <c r="O118" s="1" t="s">
        <v>39</v>
      </c>
      <c r="P118" s="5" t="s">
        <v>22</v>
      </c>
      <c r="Q118" s="2">
        <f>sales[[#This Row],[Profit]]/sales[[#This Row],[Units Sold]]</f>
        <v>76</v>
      </c>
    </row>
    <row r="119" spans="1:17" x14ac:dyDescent="0.25">
      <c r="A119" t="s">
        <v>32</v>
      </c>
      <c r="B119" t="s">
        <v>27</v>
      </c>
      <c r="C119" s="1" t="s">
        <v>41</v>
      </c>
      <c r="D119" s="1" t="s">
        <v>43</v>
      </c>
      <c r="E119">
        <v>1074</v>
      </c>
      <c r="F119" s="2">
        <v>260</v>
      </c>
      <c r="G119" s="2">
        <v>125</v>
      </c>
      <c r="H119" s="2">
        <v>134250</v>
      </c>
      <c r="I119" s="2">
        <v>5370</v>
      </c>
      <c r="J119" s="2">
        <v>128880</v>
      </c>
      <c r="K119" s="2">
        <v>128880</v>
      </c>
      <c r="L119" s="2">
        <v>0</v>
      </c>
      <c r="M119" s="3">
        <v>41730</v>
      </c>
      <c r="N119" s="4">
        <v>4</v>
      </c>
      <c r="O119" s="1" t="s">
        <v>42</v>
      </c>
      <c r="P119" s="5" t="s">
        <v>22</v>
      </c>
      <c r="Q119" s="2">
        <f>sales[[#This Row],[Profit]]/sales[[#This Row],[Units Sold]]</f>
        <v>0</v>
      </c>
    </row>
    <row r="120" spans="1:17" x14ac:dyDescent="0.25">
      <c r="A120" t="s">
        <v>17</v>
      </c>
      <c r="B120" t="s">
        <v>23</v>
      </c>
      <c r="C120" s="1" t="s">
        <v>41</v>
      </c>
      <c r="D120" s="1" t="s">
        <v>43</v>
      </c>
      <c r="E120">
        <v>1907</v>
      </c>
      <c r="F120" s="2">
        <v>260</v>
      </c>
      <c r="G120" s="2">
        <v>350</v>
      </c>
      <c r="H120" s="2">
        <v>667450</v>
      </c>
      <c r="I120" s="2">
        <v>26698</v>
      </c>
      <c r="J120" s="2">
        <v>640752</v>
      </c>
      <c r="K120" s="2">
        <v>495820</v>
      </c>
      <c r="L120" s="2">
        <v>144932</v>
      </c>
      <c r="M120" s="3">
        <v>41883</v>
      </c>
      <c r="N120" s="4">
        <v>9</v>
      </c>
      <c r="O120" s="1" t="s">
        <v>36</v>
      </c>
      <c r="P120" s="5" t="s">
        <v>22</v>
      </c>
      <c r="Q120" s="2">
        <f>sales[[#This Row],[Profit]]/sales[[#This Row],[Units Sold]]</f>
        <v>76</v>
      </c>
    </row>
    <row r="121" spans="1:17" x14ac:dyDescent="0.25">
      <c r="A121" t="s">
        <v>17</v>
      </c>
      <c r="B121" t="s">
        <v>23</v>
      </c>
      <c r="C121" s="1" t="s">
        <v>38</v>
      </c>
      <c r="D121" s="1" t="s">
        <v>46</v>
      </c>
      <c r="E121">
        <v>1372</v>
      </c>
      <c r="F121" s="2">
        <v>10</v>
      </c>
      <c r="G121" s="2">
        <v>7</v>
      </c>
      <c r="H121" s="2">
        <v>9604</v>
      </c>
      <c r="I121" s="2">
        <v>480.2</v>
      </c>
      <c r="J121" s="2">
        <v>9123.7999999999993</v>
      </c>
      <c r="K121" s="2">
        <v>6860</v>
      </c>
      <c r="L121" s="2">
        <v>2263.7999999999993</v>
      </c>
      <c r="M121" s="3">
        <v>41640</v>
      </c>
      <c r="N121" s="4">
        <v>1</v>
      </c>
      <c r="O121" s="1" t="s">
        <v>21</v>
      </c>
      <c r="P121" s="5" t="s">
        <v>22</v>
      </c>
      <c r="Q121" s="2">
        <f>sales[[#This Row],[Profit]]/sales[[#This Row],[Units Sold]]</f>
        <v>1.6499999999999995</v>
      </c>
    </row>
    <row r="122" spans="1:17" x14ac:dyDescent="0.25">
      <c r="A122" t="s">
        <v>17</v>
      </c>
      <c r="B122" t="s">
        <v>27</v>
      </c>
      <c r="C122" s="1" t="s">
        <v>38</v>
      </c>
      <c r="D122" s="1" t="s">
        <v>46</v>
      </c>
      <c r="E122">
        <v>2689</v>
      </c>
      <c r="F122" s="2">
        <v>10</v>
      </c>
      <c r="G122" s="2">
        <v>7</v>
      </c>
      <c r="H122" s="2">
        <v>18823</v>
      </c>
      <c r="I122" s="2">
        <v>941.15</v>
      </c>
      <c r="J122" s="2">
        <v>17881.849999999999</v>
      </c>
      <c r="K122" s="2">
        <v>13445</v>
      </c>
      <c r="L122" s="2">
        <v>4436.8499999999985</v>
      </c>
      <c r="M122" s="3">
        <v>41913</v>
      </c>
      <c r="N122" s="4">
        <v>10</v>
      </c>
      <c r="O122" s="1" t="s">
        <v>40</v>
      </c>
      <c r="P122" s="5" t="s">
        <v>22</v>
      </c>
      <c r="Q122" s="2">
        <f>sales[[#This Row],[Profit]]/sales[[#This Row],[Units Sold]]</f>
        <v>1.6499999999999995</v>
      </c>
    </row>
    <row r="123" spans="1:17" x14ac:dyDescent="0.25">
      <c r="A123" t="s">
        <v>31</v>
      </c>
      <c r="B123" t="s">
        <v>18</v>
      </c>
      <c r="C123" s="1" t="s">
        <v>38</v>
      </c>
      <c r="D123" s="1" t="s">
        <v>46</v>
      </c>
      <c r="E123">
        <v>2431</v>
      </c>
      <c r="F123" s="2">
        <v>10</v>
      </c>
      <c r="G123" s="2">
        <v>12</v>
      </c>
      <c r="H123" s="2">
        <v>29172</v>
      </c>
      <c r="I123" s="2">
        <v>1458.6</v>
      </c>
      <c r="J123" s="2">
        <v>27713.4</v>
      </c>
      <c r="K123" s="2">
        <v>7293</v>
      </c>
      <c r="L123" s="2">
        <v>20420.400000000001</v>
      </c>
      <c r="M123" s="3">
        <v>41974</v>
      </c>
      <c r="N123" s="4">
        <v>12</v>
      </c>
      <c r="O123" s="1" t="s">
        <v>28</v>
      </c>
      <c r="P123" s="5" t="s">
        <v>22</v>
      </c>
      <c r="Q123" s="2">
        <f>sales[[#This Row],[Profit]]/sales[[#This Row],[Units Sold]]</f>
        <v>8.4</v>
      </c>
    </row>
    <row r="124" spans="1:17" x14ac:dyDescent="0.25">
      <c r="A124" t="s">
        <v>17</v>
      </c>
      <c r="B124" t="s">
        <v>27</v>
      </c>
      <c r="C124" s="1" t="s">
        <v>41</v>
      </c>
      <c r="D124" s="1" t="s">
        <v>46</v>
      </c>
      <c r="E124">
        <v>1683</v>
      </c>
      <c r="F124" s="2">
        <v>260</v>
      </c>
      <c r="G124" s="2">
        <v>7</v>
      </c>
      <c r="H124" s="2">
        <v>11781</v>
      </c>
      <c r="I124" s="2">
        <v>589.04999999999995</v>
      </c>
      <c r="J124" s="2">
        <v>11191.95</v>
      </c>
      <c r="K124" s="2">
        <v>8415</v>
      </c>
      <c r="L124" s="2">
        <v>2776.9500000000007</v>
      </c>
      <c r="M124" s="3">
        <v>41821</v>
      </c>
      <c r="N124" s="4">
        <v>7</v>
      </c>
      <c r="O124" s="1" t="s">
        <v>33</v>
      </c>
      <c r="P124" s="5" t="s">
        <v>22</v>
      </c>
      <c r="Q124" s="2">
        <f>sales[[#This Row],[Profit]]/sales[[#This Row],[Units Sold]]</f>
        <v>1.6500000000000004</v>
      </c>
    </row>
    <row r="125" spans="1:17" x14ac:dyDescent="0.25">
      <c r="A125" t="s">
        <v>31</v>
      </c>
      <c r="B125" t="s">
        <v>27</v>
      </c>
      <c r="C125" s="1" t="s">
        <v>41</v>
      </c>
      <c r="D125" s="1" t="s">
        <v>46</v>
      </c>
      <c r="E125">
        <v>1123</v>
      </c>
      <c r="F125" s="2">
        <v>260</v>
      </c>
      <c r="G125" s="2">
        <v>12</v>
      </c>
      <c r="H125" s="2">
        <v>13476</v>
      </c>
      <c r="I125" s="2">
        <v>673.8</v>
      </c>
      <c r="J125" s="2">
        <v>12802.2</v>
      </c>
      <c r="K125" s="2">
        <v>3369</v>
      </c>
      <c r="L125" s="2">
        <v>9433.2000000000007</v>
      </c>
      <c r="M125" s="3">
        <v>41852</v>
      </c>
      <c r="N125" s="4">
        <v>8</v>
      </c>
      <c r="O125" s="1" t="s">
        <v>35</v>
      </c>
      <c r="P125" s="5" t="s">
        <v>22</v>
      </c>
      <c r="Q125" s="2">
        <f>sales[[#This Row],[Profit]]/sales[[#This Row],[Units Sold]]</f>
        <v>8.4</v>
      </c>
    </row>
    <row r="126" spans="1:17" x14ac:dyDescent="0.25">
      <c r="A126" t="s">
        <v>31</v>
      </c>
      <c r="B126" t="s">
        <v>25</v>
      </c>
      <c r="C126" s="1" t="s">
        <v>19</v>
      </c>
      <c r="D126" s="1" t="s">
        <v>46</v>
      </c>
      <c r="E126">
        <v>1865</v>
      </c>
      <c r="F126" s="2">
        <v>3</v>
      </c>
      <c r="G126" s="2">
        <v>12</v>
      </c>
      <c r="H126" s="2">
        <v>22380</v>
      </c>
      <c r="I126" s="2">
        <v>1119</v>
      </c>
      <c r="J126" s="2">
        <v>21261</v>
      </c>
      <c r="K126" s="2">
        <v>5595</v>
      </c>
      <c r="L126" s="2">
        <v>15666</v>
      </c>
      <c r="M126" s="3">
        <v>41671</v>
      </c>
      <c r="N126" s="4">
        <v>2</v>
      </c>
      <c r="O126" s="1" t="s">
        <v>39</v>
      </c>
      <c r="P126" s="5" t="s">
        <v>22</v>
      </c>
      <c r="Q126" s="2">
        <f>sales[[#This Row],[Profit]]/sales[[#This Row],[Units Sold]]</f>
        <v>8.4</v>
      </c>
    </row>
    <row r="127" spans="1:17" x14ac:dyDescent="0.25">
      <c r="A127" t="s">
        <v>31</v>
      </c>
      <c r="B127" t="s">
        <v>23</v>
      </c>
      <c r="C127" s="1" t="s">
        <v>19</v>
      </c>
      <c r="D127" s="1" t="s">
        <v>46</v>
      </c>
      <c r="E127">
        <v>1116</v>
      </c>
      <c r="F127" s="2">
        <v>3</v>
      </c>
      <c r="G127" s="2">
        <v>12</v>
      </c>
      <c r="H127" s="2">
        <v>13392</v>
      </c>
      <c r="I127" s="2">
        <v>669.6</v>
      </c>
      <c r="J127" s="2">
        <v>12722.4</v>
      </c>
      <c r="K127" s="2">
        <v>3348</v>
      </c>
      <c r="L127" s="2">
        <v>9374.4</v>
      </c>
      <c r="M127" s="3">
        <v>41671</v>
      </c>
      <c r="N127" s="4">
        <v>2</v>
      </c>
      <c r="O127" s="1" t="s">
        <v>39</v>
      </c>
      <c r="P127" s="5" t="s">
        <v>22</v>
      </c>
      <c r="Q127" s="2">
        <f>sales[[#This Row],[Profit]]/sales[[#This Row],[Units Sold]]</f>
        <v>8.4</v>
      </c>
    </row>
    <row r="128" spans="1:17" x14ac:dyDescent="0.25">
      <c r="A128" t="s">
        <v>17</v>
      </c>
      <c r="B128" t="s">
        <v>25</v>
      </c>
      <c r="C128" s="1" t="s">
        <v>19</v>
      </c>
      <c r="D128" s="1" t="s">
        <v>46</v>
      </c>
      <c r="E128">
        <v>1563</v>
      </c>
      <c r="F128" s="2">
        <v>3</v>
      </c>
      <c r="G128" s="2">
        <v>20</v>
      </c>
      <c r="H128" s="2">
        <v>31260</v>
      </c>
      <c r="I128" s="2">
        <v>1563</v>
      </c>
      <c r="J128" s="2">
        <v>29697</v>
      </c>
      <c r="K128" s="2">
        <v>15630</v>
      </c>
      <c r="L128" s="2">
        <v>14067</v>
      </c>
      <c r="M128" s="3">
        <v>41760</v>
      </c>
      <c r="N128" s="4">
        <v>5</v>
      </c>
      <c r="O128" s="1" t="s">
        <v>44</v>
      </c>
      <c r="P128" s="5" t="s">
        <v>22</v>
      </c>
      <c r="Q128" s="2">
        <f>sales[[#This Row],[Profit]]/sales[[#This Row],[Units Sold]]</f>
        <v>9</v>
      </c>
    </row>
    <row r="129" spans="1:17" x14ac:dyDescent="0.25">
      <c r="A129" t="s">
        <v>34</v>
      </c>
      <c r="B129" t="s">
        <v>37</v>
      </c>
      <c r="C129" s="1" t="s">
        <v>19</v>
      </c>
      <c r="D129" s="1" t="s">
        <v>46</v>
      </c>
      <c r="E129">
        <v>991</v>
      </c>
      <c r="F129" s="2">
        <v>3</v>
      </c>
      <c r="G129" s="2">
        <v>300</v>
      </c>
      <c r="H129" s="2">
        <v>297300</v>
      </c>
      <c r="I129" s="2">
        <v>14865</v>
      </c>
      <c r="J129" s="2">
        <v>282435</v>
      </c>
      <c r="K129" s="2">
        <v>247750</v>
      </c>
      <c r="L129" s="2">
        <v>34685</v>
      </c>
      <c r="M129" s="3">
        <v>41791</v>
      </c>
      <c r="N129" s="4">
        <v>6</v>
      </c>
      <c r="O129" s="1" t="s">
        <v>26</v>
      </c>
      <c r="P129" s="5" t="s">
        <v>22</v>
      </c>
      <c r="Q129" s="2">
        <f>sales[[#This Row],[Profit]]/sales[[#This Row],[Units Sold]]</f>
        <v>35</v>
      </c>
    </row>
    <row r="130" spans="1:17" x14ac:dyDescent="0.25">
      <c r="A130" t="s">
        <v>24</v>
      </c>
      <c r="B130" t="s">
        <v>27</v>
      </c>
      <c r="C130" s="1" t="s">
        <v>19</v>
      </c>
      <c r="D130" s="1" t="s">
        <v>46</v>
      </c>
      <c r="E130">
        <v>2791</v>
      </c>
      <c r="F130" s="2">
        <v>3</v>
      </c>
      <c r="G130" s="2">
        <v>15</v>
      </c>
      <c r="H130" s="2">
        <v>41865</v>
      </c>
      <c r="I130" s="2">
        <v>2093.25</v>
      </c>
      <c r="J130" s="2">
        <v>39771.75</v>
      </c>
      <c r="K130" s="2">
        <v>27910</v>
      </c>
      <c r="L130" s="2">
        <v>11861.75</v>
      </c>
      <c r="M130" s="3">
        <v>41944</v>
      </c>
      <c r="N130" s="4">
        <v>11</v>
      </c>
      <c r="O130" s="1" t="s">
        <v>45</v>
      </c>
      <c r="P130" s="5" t="s">
        <v>22</v>
      </c>
      <c r="Q130" s="2">
        <f>sales[[#This Row],[Profit]]/sales[[#This Row],[Units Sold]]</f>
        <v>4.25</v>
      </c>
    </row>
    <row r="131" spans="1:17" x14ac:dyDescent="0.25">
      <c r="A131" t="s">
        <v>17</v>
      </c>
      <c r="B131" t="s">
        <v>37</v>
      </c>
      <c r="C131" s="1" t="s">
        <v>19</v>
      </c>
      <c r="D131" s="1" t="s">
        <v>46</v>
      </c>
      <c r="E131">
        <v>570</v>
      </c>
      <c r="F131" s="2">
        <v>3</v>
      </c>
      <c r="G131" s="2">
        <v>7</v>
      </c>
      <c r="H131" s="2">
        <v>3990</v>
      </c>
      <c r="I131" s="2">
        <v>199.5</v>
      </c>
      <c r="J131" s="2">
        <v>3790.5</v>
      </c>
      <c r="K131" s="2">
        <v>2850</v>
      </c>
      <c r="L131" s="2">
        <v>940.5</v>
      </c>
      <c r="M131" s="3">
        <v>41974</v>
      </c>
      <c r="N131" s="4">
        <v>12</v>
      </c>
      <c r="O131" s="1" t="s">
        <v>28</v>
      </c>
      <c r="P131" s="5" t="s">
        <v>22</v>
      </c>
      <c r="Q131" s="2">
        <f>sales[[#This Row],[Profit]]/sales[[#This Row],[Units Sold]]</f>
        <v>1.65</v>
      </c>
    </row>
    <row r="132" spans="1:17" x14ac:dyDescent="0.25">
      <c r="A132" t="s">
        <v>17</v>
      </c>
      <c r="B132" t="s">
        <v>25</v>
      </c>
      <c r="C132" s="1" t="s">
        <v>19</v>
      </c>
      <c r="D132" s="1" t="s">
        <v>46</v>
      </c>
      <c r="E132">
        <v>2487</v>
      </c>
      <c r="F132" s="2">
        <v>3</v>
      </c>
      <c r="G132" s="2">
        <v>7</v>
      </c>
      <c r="H132" s="2">
        <v>17409</v>
      </c>
      <c r="I132" s="2">
        <v>870.45</v>
      </c>
      <c r="J132" s="2">
        <v>16538.55</v>
      </c>
      <c r="K132" s="2">
        <v>12435</v>
      </c>
      <c r="L132" s="2">
        <v>4103.5499999999993</v>
      </c>
      <c r="M132" s="3">
        <v>41974</v>
      </c>
      <c r="N132" s="4">
        <v>12</v>
      </c>
      <c r="O132" s="1" t="s">
        <v>28</v>
      </c>
      <c r="P132" s="5" t="s">
        <v>22</v>
      </c>
      <c r="Q132" s="2">
        <f>sales[[#This Row],[Profit]]/sales[[#This Row],[Units Sold]]</f>
        <v>1.6499999999999997</v>
      </c>
    </row>
    <row r="133" spans="1:17" x14ac:dyDescent="0.25">
      <c r="A133" t="s">
        <v>17</v>
      </c>
      <c r="B133" t="s">
        <v>25</v>
      </c>
      <c r="C133" s="1" t="s">
        <v>29</v>
      </c>
      <c r="D133" s="1" t="s">
        <v>46</v>
      </c>
      <c r="E133">
        <v>1384.5</v>
      </c>
      <c r="F133" s="2">
        <v>5</v>
      </c>
      <c r="G133" s="2">
        <v>350</v>
      </c>
      <c r="H133" s="2">
        <v>484575</v>
      </c>
      <c r="I133" s="2">
        <v>24228.75</v>
      </c>
      <c r="J133" s="2">
        <v>460346.25</v>
      </c>
      <c r="K133" s="2">
        <v>359970</v>
      </c>
      <c r="L133" s="2">
        <v>100376.25</v>
      </c>
      <c r="M133" s="3">
        <v>41640</v>
      </c>
      <c r="N133" s="4">
        <v>1</v>
      </c>
      <c r="O133" s="1" t="s">
        <v>21</v>
      </c>
      <c r="P133" s="5" t="s">
        <v>22</v>
      </c>
      <c r="Q133" s="2">
        <f>sales[[#This Row],[Profit]]/sales[[#This Row],[Units Sold]]</f>
        <v>72.5</v>
      </c>
    </row>
    <row r="134" spans="1:17" x14ac:dyDescent="0.25">
      <c r="A134" t="s">
        <v>31</v>
      </c>
      <c r="B134" t="s">
        <v>23</v>
      </c>
      <c r="C134" s="1" t="s">
        <v>29</v>
      </c>
      <c r="D134" s="1" t="s">
        <v>46</v>
      </c>
      <c r="E134">
        <v>2342</v>
      </c>
      <c r="F134" s="2">
        <v>5</v>
      </c>
      <c r="G134" s="2">
        <v>12</v>
      </c>
      <c r="H134" s="2">
        <v>28104</v>
      </c>
      <c r="I134" s="2">
        <v>1405.2</v>
      </c>
      <c r="J134" s="2">
        <v>26698.799999999999</v>
      </c>
      <c r="K134" s="2">
        <v>7026</v>
      </c>
      <c r="L134" s="2">
        <v>19672.8</v>
      </c>
      <c r="M134" s="3">
        <v>41944</v>
      </c>
      <c r="N134" s="4">
        <v>11</v>
      </c>
      <c r="O134" s="1" t="s">
        <v>45</v>
      </c>
      <c r="P134" s="5" t="s">
        <v>22</v>
      </c>
      <c r="Q134" s="2">
        <f>sales[[#This Row],[Profit]]/sales[[#This Row],[Units Sold]]</f>
        <v>8.4</v>
      </c>
    </row>
    <row r="135" spans="1:17" x14ac:dyDescent="0.25">
      <c r="A135" t="s">
        <v>17</v>
      </c>
      <c r="B135" t="s">
        <v>25</v>
      </c>
      <c r="C135" s="1" t="s">
        <v>38</v>
      </c>
      <c r="D135" s="1" t="s">
        <v>46</v>
      </c>
      <c r="E135">
        <v>1303</v>
      </c>
      <c r="F135" s="2">
        <v>10</v>
      </c>
      <c r="G135" s="2">
        <v>20</v>
      </c>
      <c r="H135" s="2">
        <v>26060</v>
      </c>
      <c r="I135" s="2">
        <v>1303</v>
      </c>
      <c r="J135" s="2">
        <v>24757</v>
      </c>
      <c r="K135" s="2">
        <v>13030</v>
      </c>
      <c r="L135" s="2">
        <v>11727</v>
      </c>
      <c r="M135" s="3">
        <v>41671</v>
      </c>
      <c r="N135" s="4">
        <v>2</v>
      </c>
      <c r="O135" s="1" t="s">
        <v>39</v>
      </c>
      <c r="P135" s="5" t="s">
        <v>22</v>
      </c>
      <c r="Q135" s="2">
        <f>sales[[#This Row],[Profit]]/sales[[#This Row],[Units Sold]]</f>
        <v>9</v>
      </c>
    </row>
    <row r="136" spans="1:17" x14ac:dyDescent="0.25">
      <c r="A136" t="s">
        <v>34</v>
      </c>
      <c r="B136" t="s">
        <v>27</v>
      </c>
      <c r="C136" s="1" t="s">
        <v>38</v>
      </c>
      <c r="D136" s="1" t="s">
        <v>46</v>
      </c>
      <c r="E136">
        <v>1607</v>
      </c>
      <c r="F136" s="2">
        <v>10</v>
      </c>
      <c r="G136" s="2">
        <v>300</v>
      </c>
      <c r="H136" s="2">
        <v>482100</v>
      </c>
      <c r="I136" s="2">
        <v>24105</v>
      </c>
      <c r="J136" s="2">
        <v>457995</v>
      </c>
      <c r="K136" s="2">
        <v>401750</v>
      </c>
      <c r="L136" s="2">
        <v>56245</v>
      </c>
      <c r="M136" s="3">
        <v>41730</v>
      </c>
      <c r="N136" s="4">
        <v>4</v>
      </c>
      <c r="O136" s="1" t="s">
        <v>42</v>
      </c>
      <c r="P136" s="5" t="s">
        <v>22</v>
      </c>
      <c r="Q136" s="2">
        <f>sales[[#This Row],[Profit]]/sales[[#This Row],[Units Sold]]</f>
        <v>35</v>
      </c>
    </row>
    <row r="137" spans="1:17" x14ac:dyDescent="0.25">
      <c r="A137" t="s">
        <v>17</v>
      </c>
      <c r="B137" t="s">
        <v>37</v>
      </c>
      <c r="C137" s="1" t="s">
        <v>38</v>
      </c>
      <c r="D137" s="1" t="s">
        <v>46</v>
      </c>
      <c r="E137">
        <v>2327</v>
      </c>
      <c r="F137" s="2">
        <v>10</v>
      </c>
      <c r="G137" s="2">
        <v>7</v>
      </c>
      <c r="H137" s="2">
        <v>16289</v>
      </c>
      <c r="I137" s="2">
        <v>814.45</v>
      </c>
      <c r="J137" s="2">
        <v>15474.55</v>
      </c>
      <c r="K137" s="2">
        <v>11635</v>
      </c>
      <c r="L137" s="2">
        <v>3839.5499999999993</v>
      </c>
      <c r="M137" s="3">
        <v>41760</v>
      </c>
      <c r="N137" s="4">
        <v>5</v>
      </c>
      <c r="O137" s="1" t="s">
        <v>44</v>
      </c>
      <c r="P137" s="5" t="s">
        <v>22</v>
      </c>
      <c r="Q137" s="2">
        <f>sales[[#This Row],[Profit]]/sales[[#This Row],[Units Sold]]</f>
        <v>1.6499999999999997</v>
      </c>
    </row>
    <row r="138" spans="1:17" x14ac:dyDescent="0.25">
      <c r="A138" t="s">
        <v>34</v>
      </c>
      <c r="B138" t="s">
        <v>37</v>
      </c>
      <c r="C138" s="1" t="s">
        <v>38</v>
      </c>
      <c r="D138" s="1" t="s">
        <v>46</v>
      </c>
      <c r="E138">
        <v>991</v>
      </c>
      <c r="F138" s="2">
        <v>10</v>
      </c>
      <c r="G138" s="2">
        <v>300</v>
      </c>
      <c r="H138" s="2">
        <v>297300</v>
      </c>
      <c r="I138" s="2">
        <v>14865</v>
      </c>
      <c r="J138" s="2">
        <v>282435</v>
      </c>
      <c r="K138" s="2">
        <v>247750</v>
      </c>
      <c r="L138" s="2">
        <v>34685</v>
      </c>
      <c r="M138" s="3">
        <v>41791</v>
      </c>
      <c r="N138" s="4">
        <v>6</v>
      </c>
      <c r="O138" s="1" t="s">
        <v>26</v>
      </c>
      <c r="P138" s="5" t="s">
        <v>22</v>
      </c>
      <c r="Q138" s="2">
        <f>sales[[#This Row],[Profit]]/sales[[#This Row],[Units Sold]]</f>
        <v>35</v>
      </c>
    </row>
    <row r="139" spans="1:17" x14ac:dyDescent="0.25">
      <c r="A139" t="s">
        <v>17</v>
      </c>
      <c r="B139" t="s">
        <v>37</v>
      </c>
      <c r="C139" s="1" t="s">
        <v>38</v>
      </c>
      <c r="D139" s="1" t="s">
        <v>46</v>
      </c>
      <c r="E139">
        <v>602</v>
      </c>
      <c r="F139" s="2">
        <v>10</v>
      </c>
      <c r="G139" s="2">
        <v>350</v>
      </c>
      <c r="H139" s="2">
        <v>210700</v>
      </c>
      <c r="I139" s="2">
        <v>10535</v>
      </c>
      <c r="J139" s="2">
        <v>200165</v>
      </c>
      <c r="K139" s="2">
        <v>156520</v>
      </c>
      <c r="L139" s="2">
        <v>43645</v>
      </c>
      <c r="M139" s="3">
        <v>41791</v>
      </c>
      <c r="N139" s="4">
        <v>6</v>
      </c>
      <c r="O139" s="1" t="s">
        <v>26</v>
      </c>
      <c r="P139" s="5" t="s">
        <v>22</v>
      </c>
      <c r="Q139" s="2">
        <f>sales[[#This Row],[Profit]]/sales[[#This Row],[Units Sold]]</f>
        <v>72.5</v>
      </c>
    </row>
    <row r="140" spans="1:17" x14ac:dyDescent="0.25">
      <c r="A140" t="s">
        <v>24</v>
      </c>
      <c r="B140" t="s">
        <v>25</v>
      </c>
      <c r="C140" s="1" t="s">
        <v>38</v>
      </c>
      <c r="D140" s="1" t="s">
        <v>46</v>
      </c>
      <c r="E140">
        <v>2620</v>
      </c>
      <c r="F140" s="2">
        <v>10</v>
      </c>
      <c r="G140" s="2">
        <v>15</v>
      </c>
      <c r="H140" s="2">
        <v>39300</v>
      </c>
      <c r="I140" s="2">
        <v>1965</v>
      </c>
      <c r="J140" s="2">
        <v>37335</v>
      </c>
      <c r="K140" s="2">
        <v>26200</v>
      </c>
      <c r="L140" s="2">
        <v>11135</v>
      </c>
      <c r="M140" s="3">
        <v>41883</v>
      </c>
      <c r="N140" s="4">
        <v>9</v>
      </c>
      <c r="O140" s="1" t="s">
        <v>36</v>
      </c>
      <c r="P140" s="5" t="s">
        <v>22</v>
      </c>
      <c r="Q140" s="2">
        <f>sales[[#This Row],[Profit]]/sales[[#This Row],[Units Sold]]</f>
        <v>4.25</v>
      </c>
    </row>
    <row r="141" spans="1:17" x14ac:dyDescent="0.25">
      <c r="A141" t="s">
        <v>17</v>
      </c>
      <c r="B141" t="s">
        <v>37</v>
      </c>
      <c r="C141" s="1" t="s">
        <v>38</v>
      </c>
      <c r="D141" s="1" t="s">
        <v>46</v>
      </c>
      <c r="E141">
        <v>2663</v>
      </c>
      <c r="F141" s="2">
        <v>10</v>
      </c>
      <c r="G141" s="2">
        <v>20</v>
      </c>
      <c r="H141" s="2">
        <v>53260</v>
      </c>
      <c r="I141" s="2">
        <v>2663</v>
      </c>
      <c r="J141" s="2">
        <v>50597</v>
      </c>
      <c r="K141" s="2">
        <v>26630</v>
      </c>
      <c r="L141" s="2">
        <v>23967</v>
      </c>
      <c r="M141" s="3">
        <v>41974</v>
      </c>
      <c r="N141" s="4">
        <v>12</v>
      </c>
      <c r="O141" s="1" t="s">
        <v>28</v>
      </c>
      <c r="P141" s="5" t="s">
        <v>22</v>
      </c>
      <c r="Q141" s="2">
        <f>sales[[#This Row],[Profit]]/sales[[#This Row],[Units Sold]]</f>
        <v>9</v>
      </c>
    </row>
    <row r="142" spans="1:17" x14ac:dyDescent="0.25">
      <c r="A142" t="s">
        <v>17</v>
      </c>
      <c r="B142" t="s">
        <v>23</v>
      </c>
      <c r="C142" s="1" t="s">
        <v>41</v>
      </c>
      <c r="D142" s="1" t="s">
        <v>46</v>
      </c>
      <c r="E142">
        <v>1350</v>
      </c>
      <c r="F142" s="2">
        <v>260</v>
      </c>
      <c r="G142" s="2">
        <v>350</v>
      </c>
      <c r="H142" s="2">
        <v>472500</v>
      </c>
      <c r="I142" s="2">
        <v>23625</v>
      </c>
      <c r="J142" s="2">
        <v>448875</v>
      </c>
      <c r="K142" s="2">
        <v>351000</v>
      </c>
      <c r="L142" s="2">
        <v>97875</v>
      </c>
      <c r="M142" s="3">
        <v>41671</v>
      </c>
      <c r="N142" s="4">
        <v>2</v>
      </c>
      <c r="O142" s="1" t="s">
        <v>39</v>
      </c>
      <c r="P142" s="5" t="s">
        <v>22</v>
      </c>
      <c r="Q142" s="2">
        <f>sales[[#This Row],[Profit]]/sales[[#This Row],[Units Sold]]</f>
        <v>72.5</v>
      </c>
    </row>
    <row r="143" spans="1:17" x14ac:dyDescent="0.25">
      <c r="A143" t="s">
        <v>17</v>
      </c>
      <c r="B143" t="s">
        <v>18</v>
      </c>
      <c r="C143" s="1" t="s">
        <v>41</v>
      </c>
      <c r="D143" s="1" t="s">
        <v>46</v>
      </c>
      <c r="E143">
        <v>552</v>
      </c>
      <c r="F143" s="2">
        <v>260</v>
      </c>
      <c r="G143" s="2">
        <v>350</v>
      </c>
      <c r="H143" s="2">
        <v>193200</v>
      </c>
      <c r="I143" s="2">
        <v>9660</v>
      </c>
      <c r="J143" s="2">
        <v>183540</v>
      </c>
      <c r="K143" s="2">
        <v>143520</v>
      </c>
      <c r="L143" s="2">
        <v>40020</v>
      </c>
      <c r="M143" s="3">
        <v>41852</v>
      </c>
      <c r="N143" s="4">
        <v>8</v>
      </c>
      <c r="O143" s="1" t="s">
        <v>35</v>
      </c>
      <c r="P143" s="5" t="s">
        <v>22</v>
      </c>
      <c r="Q143" s="2">
        <f>sales[[#This Row],[Profit]]/sales[[#This Row],[Units Sold]]</f>
        <v>72.5</v>
      </c>
    </row>
    <row r="144" spans="1:17" x14ac:dyDescent="0.25">
      <c r="A144" t="s">
        <v>34</v>
      </c>
      <c r="B144" t="s">
        <v>23</v>
      </c>
      <c r="C144" s="1" t="s">
        <v>41</v>
      </c>
      <c r="D144" s="1" t="s">
        <v>46</v>
      </c>
      <c r="E144">
        <v>1250</v>
      </c>
      <c r="F144" s="2">
        <v>260</v>
      </c>
      <c r="G144" s="2">
        <v>300</v>
      </c>
      <c r="H144" s="2">
        <v>375000</v>
      </c>
      <c r="I144" s="2">
        <v>18750</v>
      </c>
      <c r="J144" s="2">
        <v>356250</v>
      </c>
      <c r="K144" s="2">
        <v>312500</v>
      </c>
      <c r="L144" s="2">
        <v>43750</v>
      </c>
      <c r="M144" s="3">
        <v>41974</v>
      </c>
      <c r="N144" s="4">
        <v>12</v>
      </c>
      <c r="O144" s="1" t="s">
        <v>28</v>
      </c>
      <c r="P144" s="5" t="s">
        <v>22</v>
      </c>
      <c r="Q144" s="2">
        <f>sales[[#This Row],[Profit]]/sales[[#This Row],[Units Sold]]</f>
        <v>35</v>
      </c>
    </row>
    <row r="145" spans="1:17" x14ac:dyDescent="0.25">
      <c r="A145" t="s">
        <v>24</v>
      </c>
      <c r="B145" t="s">
        <v>25</v>
      </c>
      <c r="C145" s="1" t="s">
        <v>38</v>
      </c>
      <c r="D145" s="1" t="s">
        <v>46</v>
      </c>
      <c r="E145">
        <v>3801</v>
      </c>
      <c r="F145" s="2">
        <v>10</v>
      </c>
      <c r="G145" s="2">
        <v>15</v>
      </c>
      <c r="H145" s="2">
        <v>57015</v>
      </c>
      <c r="I145" s="2">
        <v>3420.8999999999996</v>
      </c>
      <c r="J145" s="2">
        <v>53594.100000000006</v>
      </c>
      <c r="K145" s="2">
        <v>38010</v>
      </c>
      <c r="L145" s="2">
        <v>15584.100000000002</v>
      </c>
      <c r="M145" s="3">
        <v>41730</v>
      </c>
      <c r="N145" s="4">
        <v>4</v>
      </c>
      <c r="O145" s="1" t="s">
        <v>42</v>
      </c>
      <c r="P145" s="5" t="s">
        <v>22</v>
      </c>
      <c r="Q145" s="2">
        <f>sales[[#This Row],[Profit]]/sales[[#This Row],[Units Sold]]</f>
        <v>4.1000000000000005</v>
      </c>
    </row>
    <row r="146" spans="1:17" x14ac:dyDescent="0.25">
      <c r="A146" t="s">
        <v>17</v>
      </c>
      <c r="B146" t="s">
        <v>37</v>
      </c>
      <c r="C146" s="1" t="s">
        <v>19</v>
      </c>
      <c r="D146" s="1" t="s">
        <v>46</v>
      </c>
      <c r="E146">
        <v>1117.5</v>
      </c>
      <c r="F146" s="2">
        <v>3</v>
      </c>
      <c r="G146" s="2">
        <v>20</v>
      </c>
      <c r="H146" s="2">
        <v>22350</v>
      </c>
      <c r="I146" s="2">
        <v>1341</v>
      </c>
      <c r="J146" s="2">
        <v>21009</v>
      </c>
      <c r="K146" s="2">
        <v>11175</v>
      </c>
      <c r="L146" s="2">
        <v>9834</v>
      </c>
      <c r="M146" s="3">
        <v>41640</v>
      </c>
      <c r="N146" s="4">
        <v>1</v>
      </c>
      <c r="O146" s="1" t="s">
        <v>21</v>
      </c>
      <c r="P146" s="5" t="s">
        <v>22</v>
      </c>
      <c r="Q146" s="2">
        <f>sales[[#This Row],[Profit]]/sales[[#This Row],[Units Sold]]</f>
        <v>8.8000000000000007</v>
      </c>
    </row>
    <row r="147" spans="1:17" x14ac:dyDescent="0.25">
      <c r="A147" t="s">
        <v>24</v>
      </c>
      <c r="B147" t="s">
        <v>18</v>
      </c>
      <c r="C147" s="1" t="s">
        <v>19</v>
      </c>
      <c r="D147" s="1" t="s">
        <v>46</v>
      </c>
      <c r="E147">
        <v>2844</v>
      </c>
      <c r="F147" s="2">
        <v>3</v>
      </c>
      <c r="G147" s="2">
        <v>15</v>
      </c>
      <c r="H147" s="2">
        <v>42660</v>
      </c>
      <c r="I147" s="2">
        <v>2559.6</v>
      </c>
      <c r="J147" s="2">
        <v>40100.400000000001</v>
      </c>
      <c r="K147" s="2">
        <v>28440</v>
      </c>
      <c r="L147" s="2">
        <v>11660.400000000001</v>
      </c>
      <c r="M147" s="3">
        <v>41791</v>
      </c>
      <c r="N147" s="4">
        <v>6</v>
      </c>
      <c r="O147" s="1" t="s">
        <v>26</v>
      </c>
      <c r="P147" s="5" t="s">
        <v>22</v>
      </c>
      <c r="Q147" s="2">
        <f>sales[[#This Row],[Profit]]/sales[[#This Row],[Units Sold]]</f>
        <v>4.1000000000000005</v>
      </c>
    </row>
    <row r="148" spans="1:17" x14ac:dyDescent="0.25">
      <c r="A148" t="s">
        <v>31</v>
      </c>
      <c r="B148" t="s">
        <v>27</v>
      </c>
      <c r="C148" s="1" t="s">
        <v>19</v>
      </c>
      <c r="D148" s="1" t="s">
        <v>46</v>
      </c>
      <c r="E148">
        <v>562</v>
      </c>
      <c r="F148" s="2">
        <v>3</v>
      </c>
      <c r="G148" s="2">
        <v>12</v>
      </c>
      <c r="H148" s="2">
        <v>6744</v>
      </c>
      <c r="I148" s="2">
        <v>404.64</v>
      </c>
      <c r="J148" s="2">
        <v>6339.36</v>
      </c>
      <c r="K148" s="2">
        <v>1686</v>
      </c>
      <c r="L148" s="2">
        <v>4653.3599999999997</v>
      </c>
      <c r="M148" s="3">
        <v>41883</v>
      </c>
      <c r="N148" s="4">
        <v>9</v>
      </c>
      <c r="O148" s="1" t="s">
        <v>36</v>
      </c>
      <c r="P148" s="5" t="s">
        <v>22</v>
      </c>
      <c r="Q148" s="2">
        <f>sales[[#This Row],[Profit]]/sales[[#This Row],[Units Sold]]</f>
        <v>8.2799999999999994</v>
      </c>
    </row>
    <row r="149" spans="1:17" x14ac:dyDescent="0.25">
      <c r="A149" t="s">
        <v>24</v>
      </c>
      <c r="B149" t="s">
        <v>37</v>
      </c>
      <c r="C149" s="1" t="s">
        <v>19</v>
      </c>
      <c r="D149" s="1" t="s">
        <v>46</v>
      </c>
      <c r="E149">
        <v>2030</v>
      </c>
      <c r="F149" s="2">
        <v>3</v>
      </c>
      <c r="G149" s="2">
        <v>15</v>
      </c>
      <c r="H149" s="2">
        <v>30450</v>
      </c>
      <c r="I149" s="2">
        <v>1827</v>
      </c>
      <c r="J149" s="2">
        <v>28623</v>
      </c>
      <c r="K149" s="2">
        <v>20300</v>
      </c>
      <c r="L149" s="2">
        <v>8323</v>
      </c>
      <c r="M149" s="3">
        <v>41944</v>
      </c>
      <c r="N149" s="4">
        <v>11</v>
      </c>
      <c r="O149" s="1" t="s">
        <v>45</v>
      </c>
      <c r="P149" s="5" t="s">
        <v>22</v>
      </c>
      <c r="Q149" s="2">
        <f>sales[[#This Row],[Profit]]/sales[[#This Row],[Units Sold]]</f>
        <v>4.0999999999999996</v>
      </c>
    </row>
    <row r="150" spans="1:17" x14ac:dyDescent="0.25">
      <c r="A150" t="s">
        <v>17</v>
      </c>
      <c r="B150" t="s">
        <v>27</v>
      </c>
      <c r="C150" s="1" t="s">
        <v>29</v>
      </c>
      <c r="D150" s="1" t="s">
        <v>46</v>
      </c>
      <c r="E150">
        <v>980</v>
      </c>
      <c r="F150" s="2">
        <v>5</v>
      </c>
      <c r="G150" s="2">
        <v>350</v>
      </c>
      <c r="H150" s="2">
        <v>343000</v>
      </c>
      <c r="I150" s="2">
        <v>20580</v>
      </c>
      <c r="J150" s="2">
        <v>322420</v>
      </c>
      <c r="K150" s="2">
        <v>254800</v>
      </c>
      <c r="L150" s="2">
        <v>67620</v>
      </c>
      <c r="M150" s="3">
        <v>41730</v>
      </c>
      <c r="N150" s="4">
        <v>4</v>
      </c>
      <c r="O150" s="1" t="s">
        <v>42</v>
      </c>
      <c r="P150" s="5" t="s">
        <v>22</v>
      </c>
      <c r="Q150" s="2">
        <f>sales[[#This Row],[Profit]]/sales[[#This Row],[Units Sold]]</f>
        <v>69</v>
      </c>
    </row>
    <row r="151" spans="1:17" x14ac:dyDescent="0.25">
      <c r="A151" t="s">
        <v>17</v>
      </c>
      <c r="B151" t="s">
        <v>23</v>
      </c>
      <c r="C151" s="1" t="s">
        <v>29</v>
      </c>
      <c r="D151" s="1" t="s">
        <v>46</v>
      </c>
      <c r="E151">
        <v>1460</v>
      </c>
      <c r="F151" s="2">
        <v>5</v>
      </c>
      <c r="G151" s="2">
        <v>350</v>
      </c>
      <c r="H151" s="2">
        <v>511000</v>
      </c>
      <c r="I151" s="2">
        <v>30660</v>
      </c>
      <c r="J151" s="2">
        <v>480340</v>
      </c>
      <c r="K151" s="2">
        <v>379600</v>
      </c>
      <c r="L151" s="2">
        <v>100740</v>
      </c>
      <c r="M151" s="3">
        <v>41760</v>
      </c>
      <c r="N151" s="4">
        <v>5</v>
      </c>
      <c r="O151" s="1" t="s">
        <v>44</v>
      </c>
      <c r="P151" s="5" t="s">
        <v>22</v>
      </c>
      <c r="Q151" s="2">
        <f>sales[[#This Row],[Profit]]/sales[[#This Row],[Units Sold]]</f>
        <v>69</v>
      </c>
    </row>
    <row r="152" spans="1:17" x14ac:dyDescent="0.25">
      <c r="A152" t="s">
        <v>31</v>
      </c>
      <c r="B152" t="s">
        <v>37</v>
      </c>
      <c r="C152" s="1" t="s">
        <v>29</v>
      </c>
      <c r="D152" s="1" t="s">
        <v>46</v>
      </c>
      <c r="E152">
        <v>2723</v>
      </c>
      <c r="F152" s="2">
        <v>5</v>
      </c>
      <c r="G152" s="2">
        <v>12</v>
      </c>
      <c r="H152" s="2">
        <v>32676</v>
      </c>
      <c r="I152" s="2">
        <v>1960.56</v>
      </c>
      <c r="J152" s="2">
        <v>30715.439999999999</v>
      </c>
      <c r="K152" s="2">
        <v>8169</v>
      </c>
      <c r="L152" s="2">
        <v>22546.44</v>
      </c>
      <c r="M152" s="3">
        <v>41944</v>
      </c>
      <c r="N152" s="4">
        <v>11</v>
      </c>
      <c r="O152" s="1" t="s">
        <v>45</v>
      </c>
      <c r="P152" s="5" t="s">
        <v>22</v>
      </c>
      <c r="Q152" s="2">
        <f>sales[[#This Row],[Profit]]/sales[[#This Row],[Units Sold]]</f>
        <v>8.2799999999999994</v>
      </c>
    </row>
    <row r="153" spans="1:17" x14ac:dyDescent="0.25">
      <c r="A153" t="s">
        <v>17</v>
      </c>
      <c r="B153" t="s">
        <v>25</v>
      </c>
      <c r="C153" s="1" t="s">
        <v>38</v>
      </c>
      <c r="D153" s="1" t="s">
        <v>46</v>
      </c>
      <c r="E153">
        <v>1496</v>
      </c>
      <c r="F153" s="2">
        <v>10</v>
      </c>
      <c r="G153" s="2">
        <v>350</v>
      </c>
      <c r="H153" s="2">
        <v>523600</v>
      </c>
      <c r="I153" s="2">
        <v>31416</v>
      </c>
      <c r="J153" s="2">
        <v>492184</v>
      </c>
      <c r="K153" s="2">
        <v>388960</v>
      </c>
      <c r="L153" s="2">
        <v>103224</v>
      </c>
      <c r="M153" s="3">
        <v>41791</v>
      </c>
      <c r="N153" s="4">
        <v>6</v>
      </c>
      <c r="O153" s="1" t="s">
        <v>26</v>
      </c>
      <c r="P153" s="5" t="s">
        <v>22</v>
      </c>
      <c r="Q153" s="2">
        <f>sales[[#This Row],[Profit]]/sales[[#This Row],[Units Sold]]</f>
        <v>69</v>
      </c>
    </row>
    <row r="154" spans="1:17" x14ac:dyDescent="0.25">
      <c r="A154" t="s">
        <v>17</v>
      </c>
      <c r="B154" t="s">
        <v>27</v>
      </c>
      <c r="C154" s="1" t="s">
        <v>41</v>
      </c>
      <c r="D154" s="1" t="s">
        <v>46</v>
      </c>
      <c r="E154">
        <v>1679</v>
      </c>
      <c r="F154" s="2">
        <v>260</v>
      </c>
      <c r="G154" s="2">
        <v>350</v>
      </c>
      <c r="H154" s="2">
        <v>587650</v>
      </c>
      <c r="I154" s="2">
        <v>35259</v>
      </c>
      <c r="J154" s="2">
        <v>552391</v>
      </c>
      <c r="K154" s="2">
        <v>436540</v>
      </c>
      <c r="L154" s="2">
        <v>115851</v>
      </c>
      <c r="M154" s="3">
        <v>41883</v>
      </c>
      <c r="N154" s="4">
        <v>9</v>
      </c>
      <c r="O154" s="1" t="s">
        <v>36</v>
      </c>
      <c r="P154" s="5" t="s">
        <v>22</v>
      </c>
      <c r="Q154" s="2">
        <f>sales[[#This Row],[Profit]]/sales[[#This Row],[Units Sold]]</f>
        <v>69</v>
      </c>
    </row>
    <row r="155" spans="1:17" x14ac:dyDescent="0.25">
      <c r="A155" t="s">
        <v>24</v>
      </c>
      <c r="B155" t="s">
        <v>37</v>
      </c>
      <c r="C155" s="1" t="s">
        <v>38</v>
      </c>
      <c r="D155" s="1" t="s">
        <v>46</v>
      </c>
      <c r="E155">
        <v>2198</v>
      </c>
      <c r="F155" s="2">
        <v>10</v>
      </c>
      <c r="G155" s="2">
        <v>15</v>
      </c>
      <c r="H155" s="2">
        <v>32970</v>
      </c>
      <c r="I155" s="2">
        <v>1978.2</v>
      </c>
      <c r="J155" s="2">
        <v>30991.8</v>
      </c>
      <c r="K155" s="2">
        <v>21980</v>
      </c>
      <c r="L155" s="2">
        <v>9011.7999999999993</v>
      </c>
      <c r="M155" s="3">
        <v>41852</v>
      </c>
      <c r="N155" s="4">
        <v>8</v>
      </c>
      <c r="O155" s="1" t="s">
        <v>35</v>
      </c>
      <c r="P155" s="5" t="s">
        <v>22</v>
      </c>
      <c r="Q155" s="2">
        <f>sales[[#This Row],[Profit]]/sales[[#This Row],[Units Sold]]</f>
        <v>4.0999999999999996</v>
      </c>
    </row>
    <row r="156" spans="1:17" x14ac:dyDescent="0.25">
      <c r="A156" t="s">
        <v>24</v>
      </c>
      <c r="B156" t="s">
        <v>23</v>
      </c>
      <c r="C156" s="1" t="s">
        <v>38</v>
      </c>
      <c r="D156" s="1" t="s">
        <v>46</v>
      </c>
      <c r="E156">
        <v>1743</v>
      </c>
      <c r="F156" s="2">
        <v>10</v>
      </c>
      <c r="G156" s="2">
        <v>15</v>
      </c>
      <c r="H156" s="2">
        <v>26145</v>
      </c>
      <c r="I156" s="2">
        <v>1568.7</v>
      </c>
      <c r="J156" s="2">
        <v>24576.3</v>
      </c>
      <c r="K156" s="2">
        <v>17430</v>
      </c>
      <c r="L156" s="2">
        <v>7146.2999999999993</v>
      </c>
      <c r="M156" s="3">
        <v>41852</v>
      </c>
      <c r="N156" s="4">
        <v>8</v>
      </c>
      <c r="O156" s="1" t="s">
        <v>35</v>
      </c>
      <c r="P156" s="5" t="s">
        <v>22</v>
      </c>
      <c r="Q156" s="2">
        <f>sales[[#This Row],[Profit]]/sales[[#This Row],[Units Sold]]</f>
        <v>4.0999999999999996</v>
      </c>
    </row>
    <row r="157" spans="1:17" x14ac:dyDescent="0.25">
      <c r="A157" t="s">
        <v>24</v>
      </c>
      <c r="B157" t="s">
        <v>37</v>
      </c>
      <c r="C157" s="1" t="s">
        <v>38</v>
      </c>
      <c r="D157" s="1" t="s">
        <v>46</v>
      </c>
      <c r="E157">
        <v>1153</v>
      </c>
      <c r="F157" s="2">
        <v>10</v>
      </c>
      <c r="G157" s="2">
        <v>15</v>
      </c>
      <c r="H157" s="2">
        <v>17295</v>
      </c>
      <c r="I157" s="2">
        <v>1037.7</v>
      </c>
      <c r="J157" s="2">
        <v>16257.3</v>
      </c>
      <c r="K157" s="2">
        <v>11530</v>
      </c>
      <c r="L157" s="2">
        <v>4727.2999999999993</v>
      </c>
      <c r="M157" s="3">
        <v>41913</v>
      </c>
      <c r="N157" s="4">
        <v>10</v>
      </c>
      <c r="O157" s="1" t="s">
        <v>40</v>
      </c>
      <c r="P157" s="5" t="s">
        <v>22</v>
      </c>
      <c r="Q157" s="2">
        <f>sales[[#This Row],[Profit]]/sales[[#This Row],[Units Sold]]</f>
        <v>4.0999999999999996</v>
      </c>
    </row>
    <row r="158" spans="1:17" x14ac:dyDescent="0.25">
      <c r="A158" t="s">
        <v>31</v>
      </c>
      <c r="B158" t="s">
        <v>27</v>
      </c>
      <c r="C158" s="1" t="s">
        <v>19</v>
      </c>
      <c r="D158" s="1" t="s">
        <v>46</v>
      </c>
      <c r="E158">
        <v>727</v>
      </c>
      <c r="F158" s="2">
        <v>3</v>
      </c>
      <c r="G158" s="2">
        <v>12</v>
      </c>
      <c r="H158" s="2">
        <v>8724</v>
      </c>
      <c r="I158" s="2">
        <v>610.67999999999995</v>
      </c>
      <c r="J158" s="2">
        <v>8113.32</v>
      </c>
      <c r="K158" s="2">
        <v>2181</v>
      </c>
      <c r="L158" s="2">
        <v>5932.32</v>
      </c>
      <c r="M158" s="3">
        <v>41671</v>
      </c>
      <c r="N158" s="4">
        <v>2</v>
      </c>
      <c r="O158" s="1" t="s">
        <v>39</v>
      </c>
      <c r="P158" s="5" t="s">
        <v>22</v>
      </c>
      <c r="Q158" s="2">
        <f>sales[[#This Row],[Profit]]/sales[[#This Row],[Units Sold]]</f>
        <v>8.16</v>
      </c>
    </row>
    <row r="159" spans="1:17" x14ac:dyDescent="0.25">
      <c r="A159" t="s">
        <v>31</v>
      </c>
      <c r="B159" t="s">
        <v>18</v>
      </c>
      <c r="C159" s="1" t="s">
        <v>19</v>
      </c>
      <c r="D159" s="1" t="s">
        <v>46</v>
      </c>
      <c r="E159">
        <v>1884</v>
      </c>
      <c r="F159" s="2">
        <v>3</v>
      </c>
      <c r="G159" s="2">
        <v>12</v>
      </c>
      <c r="H159" s="2">
        <v>22608</v>
      </c>
      <c r="I159" s="2">
        <v>1582.56</v>
      </c>
      <c r="J159" s="2">
        <v>21025.439999999999</v>
      </c>
      <c r="K159" s="2">
        <v>5652</v>
      </c>
      <c r="L159" s="2">
        <v>15373.439999999999</v>
      </c>
      <c r="M159" s="3">
        <v>41852</v>
      </c>
      <c r="N159" s="4">
        <v>8</v>
      </c>
      <c r="O159" s="1" t="s">
        <v>35</v>
      </c>
      <c r="P159" s="5" t="s">
        <v>22</v>
      </c>
      <c r="Q159" s="2">
        <f>sales[[#This Row],[Profit]]/sales[[#This Row],[Units Sold]]</f>
        <v>8.16</v>
      </c>
    </row>
    <row r="160" spans="1:17" x14ac:dyDescent="0.25">
      <c r="A160" t="s">
        <v>31</v>
      </c>
      <c r="B160" t="s">
        <v>27</v>
      </c>
      <c r="C160" s="1" t="s">
        <v>29</v>
      </c>
      <c r="D160" s="1" t="s">
        <v>46</v>
      </c>
      <c r="E160">
        <v>2340</v>
      </c>
      <c r="F160" s="2">
        <v>5</v>
      </c>
      <c r="G160" s="2">
        <v>12</v>
      </c>
      <c r="H160" s="2">
        <v>28080</v>
      </c>
      <c r="I160" s="2">
        <v>1965.6</v>
      </c>
      <c r="J160" s="2">
        <v>26114.400000000001</v>
      </c>
      <c r="K160" s="2">
        <v>7020</v>
      </c>
      <c r="L160" s="2">
        <v>19094.400000000001</v>
      </c>
      <c r="M160" s="3">
        <v>41640</v>
      </c>
      <c r="N160" s="4">
        <v>1</v>
      </c>
      <c r="O160" s="1" t="s">
        <v>21</v>
      </c>
      <c r="P160" s="5" t="s">
        <v>22</v>
      </c>
      <c r="Q160" s="2">
        <f>sales[[#This Row],[Profit]]/sales[[#This Row],[Units Sold]]</f>
        <v>8.16</v>
      </c>
    </row>
    <row r="161" spans="1:17" x14ac:dyDescent="0.25">
      <c r="A161" t="s">
        <v>31</v>
      </c>
      <c r="B161" t="s">
        <v>25</v>
      </c>
      <c r="C161" s="1" t="s">
        <v>29</v>
      </c>
      <c r="D161" s="1" t="s">
        <v>46</v>
      </c>
      <c r="E161">
        <v>2342</v>
      </c>
      <c r="F161" s="2">
        <v>5</v>
      </c>
      <c r="G161" s="2">
        <v>12</v>
      </c>
      <c r="H161" s="2">
        <v>28104</v>
      </c>
      <c r="I161" s="2">
        <v>1967.28</v>
      </c>
      <c r="J161" s="2">
        <v>26136.720000000001</v>
      </c>
      <c r="K161" s="2">
        <v>7026</v>
      </c>
      <c r="L161" s="2">
        <v>19110.72</v>
      </c>
      <c r="M161" s="3">
        <v>41944</v>
      </c>
      <c r="N161" s="4">
        <v>11</v>
      </c>
      <c r="O161" s="1" t="s">
        <v>45</v>
      </c>
      <c r="P161" s="5" t="s">
        <v>22</v>
      </c>
      <c r="Q161" s="2">
        <f>sales[[#This Row],[Profit]]/sales[[#This Row],[Units Sold]]</f>
        <v>8.16</v>
      </c>
    </row>
    <row r="162" spans="1:17" x14ac:dyDescent="0.25">
      <c r="A162" t="s">
        <v>17</v>
      </c>
      <c r="B162" t="s">
        <v>18</v>
      </c>
      <c r="C162" s="1" t="s">
        <v>41</v>
      </c>
      <c r="D162" s="1" t="s">
        <v>46</v>
      </c>
      <c r="E162">
        <v>1135</v>
      </c>
      <c r="F162" s="2">
        <v>260</v>
      </c>
      <c r="G162" s="2">
        <v>7</v>
      </c>
      <c r="H162" s="2">
        <v>7945</v>
      </c>
      <c r="I162" s="2">
        <v>556.15</v>
      </c>
      <c r="J162" s="2">
        <v>7388.85</v>
      </c>
      <c r="K162" s="2">
        <v>5675</v>
      </c>
      <c r="L162" s="2">
        <v>1713.8500000000004</v>
      </c>
      <c r="M162" s="3">
        <v>41791</v>
      </c>
      <c r="N162" s="4">
        <v>6</v>
      </c>
      <c r="O162" s="1" t="s">
        <v>26</v>
      </c>
      <c r="P162" s="5" t="s">
        <v>22</v>
      </c>
      <c r="Q162" s="2">
        <f>sales[[#This Row],[Profit]]/sales[[#This Row],[Units Sold]]</f>
        <v>1.5100000000000002</v>
      </c>
    </row>
    <row r="163" spans="1:17" x14ac:dyDescent="0.25">
      <c r="A163" t="s">
        <v>17</v>
      </c>
      <c r="B163" t="s">
        <v>37</v>
      </c>
      <c r="C163" s="1" t="s">
        <v>19</v>
      </c>
      <c r="D163" s="1" t="s">
        <v>46</v>
      </c>
      <c r="E163">
        <v>1761</v>
      </c>
      <c r="F163" s="2">
        <v>3</v>
      </c>
      <c r="G163" s="2">
        <v>350</v>
      </c>
      <c r="H163" s="2">
        <v>616350</v>
      </c>
      <c r="I163" s="2">
        <v>43144.5</v>
      </c>
      <c r="J163" s="2">
        <v>573205.5</v>
      </c>
      <c r="K163" s="2">
        <v>457860</v>
      </c>
      <c r="L163" s="2">
        <v>115345.5</v>
      </c>
      <c r="M163" s="3">
        <v>41699</v>
      </c>
      <c r="N163" s="4">
        <v>3</v>
      </c>
      <c r="O163" s="1" t="s">
        <v>30</v>
      </c>
      <c r="P163" s="5" t="s">
        <v>22</v>
      </c>
      <c r="Q163" s="2">
        <f>sales[[#This Row],[Profit]]/sales[[#This Row],[Units Sold]]</f>
        <v>65.5</v>
      </c>
    </row>
    <row r="164" spans="1:17" x14ac:dyDescent="0.25">
      <c r="A164" t="s">
        <v>34</v>
      </c>
      <c r="B164" t="s">
        <v>25</v>
      </c>
      <c r="C164" s="1" t="s">
        <v>19</v>
      </c>
      <c r="D164" s="1" t="s">
        <v>46</v>
      </c>
      <c r="E164">
        <v>448</v>
      </c>
      <c r="F164" s="2">
        <v>3</v>
      </c>
      <c r="G164" s="2">
        <v>300</v>
      </c>
      <c r="H164" s="2">
        <v>134400</v>
      </c>
      <c r="I164" s="2">
        <v>9408</v>
      </c>
      <c r="J164" s="2">
        <v>124992</v>
      </c>
      <c r="K164" s="2">
        <v>112000</v>
      </c>
      <c r="L164" s="2">
        <v>12992</v>
      </c>
      <c r="M164" s="3">
        <v>41791</v>
      </c>
      <c r="N164" s="4">
        <v>6</v>
      </c>
      <c r="O164" s="1" t="s">
        <v>26</v>
      </c>
      <c r="P164" s="5" t="s">
        <v>22</v>
      </c>
      <c r="Q164" s="2">
        <f>sales[[#This Row],[Profit]]/sales[[#This Row],[Units Sold]]</f>
        <v>29</v>
      </c>
    </row>
    <row r="165" spans="1:17" x14ac:dyDescent="0.25">
      <c r="A165" t="s">
        <v>34</v>
      </c>
      <c r="B165" t="s">
        <v>25</v>
      </c>
      <c r="C165" s="1" t="s">
        <v>19</v>
      </c>
      <c r="D165" s="1" t="s">
        <v>46</v>
      </c>
      <c r="E165">
        <v>2181</v>
      </c>
      <c r="F165" s="2">
        <v>3</v>
      </c>
      <c r="G165" s="2">
        <v>300</v>
      </c>
      <c r="H165" s="2">
        <v>654300</v>
      </c>
      <c r="I165" s="2">
        <v>45801</v>
      </c>
      <c r="J165" s="2">
        <v>608499</v>
      </c>
      <c r="K165" s="2">
        <v>545250</v>
      </c>
      <c r="L165" s="2">
        <v>63249</v>
      </c>
      <c r="M165" s="3">
        <v>41913</v>
      </c>
      <c r="N165" s="4">
        <v>10</v>
      </c>
      <c r="O165" s="1" t="s">
        <v>40</v>
      </c>
      <c r="P165" s="5" t="s">
        <v>22</v>
      </c>
      <c r="Q165" s="2">
        <f>sales[[#This Row],[Profit]]/sales[[#This Row],[Units Sold]]</f>
        <v>29</v>
      </c>
    </row>
    <row r="166" spans="1:17" x14ac:dyDescent="0.25">
      <c r="A166" t="s">
        <v>17</v>
      </c>
      <c r="B166" t="s">
        <v>25</v>
      </c>
      <c r="C166" s="1" t="s">
        <v>29</v>
      </c>
      <c r="D166" s="1" t="s">
        <v>46</v>
      </c>
      <c r="E166">
        <v>1976</v>
      </c>
      <c r="F166" s="2">
        <v>5</v>
      </c>
      <c r="G166" s="2">
        <v>20</v>
      </c>
      <c r="H166" s="2">
        <v>39520</v>
      </c>
      <c r="I166" s="2">
        <v>2766.4</v>
      </c>
      <c r="J166" s="2">
        <v>36753.599999999999</v>
      </c>
      <c r="K166" s="2">
        <v>19760</v>
      </c>
      <c r="L166" s="2">
        <v>16993.599999999999</v>
      </c>
      <c r="M166" s="3">
        <v>41913</v>
      </c>
      <c r="N166" s="4">
        <v>10</v>
      </c>
      <c r="O166" s="1" t="s">
        <v>40</v>
      </c>
      <c r="P166" s="5" t="s">
        <v>22</v>
      </c>
      <c r="Q166" s="2">
        <f>sales[[#This Row],[Profit]]/sales[[#This Row],[Units Sold]]</f>
        <v>8.6</v>
      </c>
    </row>
    <row r="167" spans="1:17" x14ac:dyDescent="0.25">
      <c r="A167" t="s">
        <v>34</v>
      </c>
      <c r="B167" t="s">
        <v>25</v>
      </c>
      <c r="C167" s="1" t="s">
        <v>29</v>
      </c>
      <c r="D167" s="1" t="s">
        <v>46</v>
      </c>
      <c r="E167">
        <v>2181</v>
      </c>
      <c r="F167" s="2">
        <v>5</v>
      </c>
      <c r="G167" s="2">
        <v>300</v>
      </c>
      <c r="H167" s="2">
        <v>654300</v>
      </c>
      <c r="I167" s="2">
        <v>45801</v>
      </c>
      <c r="J167" s="2">
        <v>608499</v>
      </c>
      <c r="K167" s="2">
        <v>545250</v>
      </c>
      <c r="L167" s="2">
        <v>63249</v>
      </c>
      <c r="M167" s="3">
        <v>41913</v>
      </c>
      <c r="N167" s="4">
        <v>10</v>
      </c>
      <c r="O167" s="1" t="s">
        <v>40</v>
      </c>
      <c r="P167" s="5" t="s">
        <v>22</v>
      </c>
      <c r="Q167" s="2">
        <f>sales[[#This Row],[Profit]]/sales[[#This Row],[Units Sold]]</f>
        <v>29</v>
      </c>
    </row>
    <row r="168" spans="1:17" x14ac:dyDescent="0.25">
      <c r="A168" t="s">
        <v>34</v>
      </c>
      <c r="B168" t="s">
        <v>18</v>
      </c>
      <c r="C168" s="1" t="s">
        <v>38</v>
      </c>
      <c r="D168" s="1" t="s">
        <v>46</v>
      </c>
      <c r="E168">
        <v>1702</v>
      </c>
      <c r="F168" s="2">
        <v>10</v>
      </c>
      <c r="G168" s="2">
        <v>300</v>
      </c>
      <c r="H168" s="2">
        <v>510600</v>
      </c>
      <c r="I168" s="2">
        <v>35742</v>
      </c>
      <c r="J168" s="2">
        <v>474858</v>
      </c>
      <c r="K168" s="2">
        <v>425500</v>
      </c>
      <c r="L168" s="2">
        <v>49358</v>
      </c>
      <c r="M168" s="3">
        <v>41760</v>
      </c>
      <c r="N168" s="4">
        <v>5</v>
      </c>
      <c r="O168" s="1" t="s">
        <v>44</v>
      </c>
      <c r="P168" s="5" t="s">
        <v>22</v>
      </c>
      <c r="Q168" s="2">
        <f>sales[[#This Row],[Profit]]/sales[[#This Row],[Units Sold]]</f>
        <v>29</v>
      </c>
    </row>
    <row r="169" spans="1:17" x14ac:dyDescent="0.25">
      <c r="A169" t="s">
        <v>34</v>
      </c>
      <c r="B169" t="s">
        <v>25</v>
      </c>
      <c r="C169" s="1" t="s">
        <v>38</v>
      </c>
      <c r="D169" s="1" t="s">
        <v>46</v>
      </c>
      <c r="E169">
        <v>448</v>
      </c>
      <c r="F169" s="2">
        <v>10</v>
      </c>
      <c r="G169" s="2">
        <v>300</v>
      </c>
      <c r="H169" s="2">
        <v>134400</v>
      </c>
      <c r="I169" s="2">
        <v>9408</v>
      </c>
      <c r="J169" s="2">
        <v>124992</v>
      </c>
      <c r="K169" s="2">
        <v>112000</v>
      </c>
      <c r="L169" s="2">
        <v>12992</v>
      </c>
      <c r="M169" s="3">
        <v>41791</v>
      </c>
      <c r="N169" s="4">
        <v>6</v>
      </c>
      <c r="O169" s="1" t="s">
        <v>26</v>
      </c>
      <c r="P169" s="5" t="s">
        <v>22</v>
      </c>
      <c r="Q169" s="2">
        <f>sales[[#This Row],[Profit]]/sales[[#This Row],[Units Sold]]</f>
        <v>29</v>
      </c>
    </row>
    <row r="170" spans="1:17" x14ac:dyDescent="0.25">
      <c r="A170" t="s">
        <v>24</v>
      </c>
      <c r="B170" t="s">
        <v>25</v>
      </c>
      <c r="C170" s="1" t="s">
        <v>38</v>
      </c>
      <c r="D170" s="1" t="s">
        <v>46</v>
      </c>
      <c r="E170">
        <v>2101</v>
      </c>
      <c r="F170" s="2">
        <v>10</v>
      </c>
      <c r="G170" s="2">
        <v>15</v>
      </c>
      <c r="H170" s="2">
        <v>31515</v>
      </c>
      <c r="I170" s="2">
        <v>2206.0500000000002</v>
      </c>
      <c r="J170" s="2">
        <v>29308.95</v>
      </c>
      <c r="K170" s="2">
        <v>21010</v>
      </c>
      <c r="L170" s="2">
        <v>8298.9500000000007</v>
      </c>
      <c r="M170" s="3">
        <v>41852</v>
      </c>
      <c r="N170" s="4">
        <v>8</v>
      </c>
      <c r="O170" s="1" t="s">
        <v>35</v>
      </c>
      <c r="P170" s="5" t="s">
        <v>22</v>
      </c>
      <c r="Q170" s="2">
        <f>sales[[#This Row],[Profit]]/sales[[#This Row],[Units Sold]]</f>
        <v>3.95</v>
      </c>
    </row>
    <row r="171" spans="1:17" x14ac:dyDescent="0.25">
      <c r="A171" t="s">
        <v>17</v>
      </c>
      <c r="B171" t="s">
        <v>25</v>
      </c>
      <c r="C171" s="1" t="s">
        <v>38</v>
      </c>
      <c r="D171" s="1" t="s">
        <v>46</v>
      </c>
      <c r="E171">
        <v>1535</v>
      </c>
      <c r="F171" s="2">
        <v>10</v>
      </c>
      <c r="G171" s="2">
        <v>20</v>
      </c>
      <c r="H171" s="2">
        <v>30700</v>
      </c>
      <c r="I171" s="2">
        <v>2149</v>
      </c>
      <c r="J171" s="2">
        <v>28551</v>
      </c>
      <c r="K171" s="2">
        <v>15350</v>
      </c>
      <c r="L171" s="2">
        <v>13201</v>
      </c>
      <c r="M171" s="3">
        <v>41883</v>
      </c>
      <c r="N171" s="4">
        <v>9</v>
      </c>
      <c r="O171" s="1" t="s">
        <v>36</v>
      </c>
      <c r="P171" s="5" t="s">
        <v>22</v>
      </c>
      <c r="Q171" s="2">
        <f>sales[[#This Row],[Profit]]/sales[[#This Row],[Units Sold]]</f>
        <v>8.6</v>
      </c>
    </row>
    <row r="172" spans="1:17" x14ac:dyDescent="0.25">
      <c r="A172" t="s">
        <v>17</v>
      </c>
      <c r="B172" t="s">
        <v>25</v>
      </c>
      <c r="C172" s="1" t="s">
        <v>41</v>
      </c>
      <c r="D172" s="1" t="s">
        <v>46</v>
      </c>
      <c r="E172">
        <v>2876</v>
      </c>
      <c r="F172" s="2">
        <v>260</v>
      </c>
      <c r="G172" s="2">
        <v>350</v>
      </c>
      <c r="H172" s="2">
        <v>1006600</v>
      </c>
      <c r="I172" s="2">
        <v>70462</v>
      </c>
      <c r="J172" s="2">
        <v>936138</v>
      </c>
      <c r="K172" s="2">
        <v>747760</v>
      </c>
      <c r="L172" s="2">
        <v>188378</v>
      </c>
      <c r="M172" s="3">
        <v>41883</v>
      </c>
      <c r="N172" s="4">
        <v>9</v>
      </c>
      <c r="O172" s="1" t="s">
        <v>36</v>
      </c>
      <c r="P172" s="5" t="s">
        <v>22</v>
      </c>
      <c r="Q172" s="2">
        <f>sales[[#This Row],[Profit]]/sales[[#This Row],[Units Sold]]</f>
        <v>65.5</v>
      </c>
    </row>
    <row r="173" spans="1:17" x14ac:dyDescent="0.25">
      <c r="A173" t="s">
        <v>17</v>
      </c>
      <c r="B173" t="s">
        <v>18</v>
      </c>
      <c r="C173" s="1" t="s">
        <v>41</v>
      </c>
      <c r="D173" s="1" t="s">
        <v>46</v>
      </c>
      <c r="E173">
        <v>1118</v>
      </c>
      <c r="F173" s="2">
        <v>260</v>
      </c>
      <c r="G173" s="2">
        <v>20</v>
      </c>
      <c r="H173" s="2">
        <v>22360</v>
      </c>
      <c r="I173" s="2">
        <v>1565.2</v>
      </c>
      <c r="J173" s="2">
        <v>20794.8</v>
      </c>
      <c r="K173" s="2">
        <v>11180</v>
      </c>
      <c r="L173" s="2">
        <v>9614.7999999999993</v>
      </c>
      <c r="M173" s="3">
        <v>41944</v>
      </c>
      <c r="N173" s="4">
        <v>11</v>
      </c>
      <c r="O173" s="1" t="s">
        <v>45</v>
      </c>
      <c r="P173" s="5" t="s">
        <v>22</v>
      </c>
      <c r="Q173" s="2">
        <f>sales[[#This Row],[Profit]]/sales[[#This Row],[Units Sold]]</f>
        <v>8.6</v>
      </c>
    </row>
    <row r="174" spans="1:17" x14ac:dyDescent="0.25">
      <c r="A174" t="s">
        <v>34</v>
      </c>
      <c r="B174" t="s">
        <v>37</v>
      </c>
      <c r="C174" s="1" t="s">
        <v>41</v>
      </c>
      <c r="D174" s="1" t="s">
        <v>46</v>
      </c>
      <c r="E174">
        <v>1372</v>
      </c>
      <c r="F174" s="2">
        <v>260</v>
      </c>
      <c r="G174" s="2">
        <v>300</v>
      </c>
      <c r="H174" s="2">
        <v>411600</v>
      </c>
      <c r="I174" s="2">
        <v>28812</v>
      </c>
      <c r="J174" s="2">
        <v>382788</v>
      </c>
      <c r="K174" s="2">
        <v>343000</v>
      </c>
      <c r="L174" s="2">
        <v>39788</v>
      </c>
      <c r="M174" s="3">
        <v>41974</v>
      </c>
      <c r="N174" s="4">
        <v>12</v>
      </c>
      <c r="O174" s="1" t="s">
        <v>28</v>
      </c>
      <c r="P174" s="5" t="s">
        <v>22</v>
      </c>
      <c r="Q174" s="2">
        <f>sales[[#This Row],[Profit]]/sales[[#This Row],[Units Sold]]</f>
        <v>29</v>
      </c>
    </row>
    <row r="175" spans="1:17" x14ac:dyDescent="0.25">
      <c r="A175" t="s">
        <v>17</v>
      </c>
      <c r="B175" t="s">
        <v>18</v>
      </c>
      <c r="C175" s="1" t="s">
        <v>29</v>
      </c>
      <c r="D175" s="1" t="s">
        <v>46</v>
      </c>
      <c r="E175">
        <v>488</v>
      </c>
      <c r="F175" s="2">
        <v>5</v>
      </c>
      <c r="G175" s="2">
        <v>7</v>
      </c>
      <c r="H175" s="2">
        <v>3416</v>
      </c>
      <c r="I175" s="2">
        <v>273.27999999999997</v>
      </c>
      <c r="J175" s="2">
        <v>3142.7200000000003</v>
      </c>
      <c r="K175" s="2">
        <v>2440</v>
      </c>
      <c r="L175" s="2">
        <v>702.72000000000025</v>
      </c>
      <c r="M175" s="3">
        <v>41671</v>
      </c>
      <c r="N175" s="4">
        <v>2</v>
      </c>
      <c r="O175" s="1" t="s">
        <v>39</v>
      </c>
      <c r="P175" s="5" t="s">
        <v>22</v>
      </c>
      <c r="Q175" s="2">
        <f>sales[[#This Row],[Profit]]/sales[[#This Row],[Units Sold]]</f>
        <v>1.4400000000000006</v>
      </c>
    </row>
    <row r="176" spans="1:17" x14ac:dyDescent="0.25">
      <c r="A176" t="s">
        <v>17</v>
      </c>
      <c r="B176" t="s">
        <v>37</v>
      </c>
      <c r="C176" s="1" t="s">
        <v>29</v>
      </c>
      <c r="D176" s="1" t="s">
        <v>46</v>
      </c>
      <c r="E176">
        <v>1282</v>
      </c>
      <c r="F176" s="2">
        <v>5</v>
      </c>
      <c r="G176" s="2">
        <v>20</v>
      </c>
      <c r="H176" s="2">
        <v>25640</v>
      </c>
      <c r="I176" s="2">
        <v>2051.1999999999998</v>
      </c>
      <c r="J176" s="2">
        <v>23588.799999999999</v>
      </c>
      <c r="K176" s="2">
        <v>12820</v>
      </c>
      <c r="L176" s="2">
        <v>10768.8</v>
      </c>
      <c r="M176" s="3">
        <v>41791</v>
      </c>
      <c r="N176" s="4">
        <v>6</v>
      </c>
      <c r="O176" s="1" t="s">
        <v>26</v>
      </c>
      <c r="P176" s="5" t="s">
        <v>22</v>
      </c>
      <c r="Q176" s="2">
        <f>sales[[#This Row],[Profit]]/sales[[#This Row],[Units Sold]]</f>
        <v>8.3999999999999986</v>
      </c>
    </row>
    <row r="177" spans="1:17" x14ac:dyDescent="0.25">
      <c r="A177" t="s">
        <v>17</v>
      </c>
      <c r="B177" t="s">
        <v>18</v>
      </c>
      <c r="C177" s="1" t="s">
        <v>38</v>
      </c>
      <c r="D177" s="1" t="s">
        <v>46</v>
      </c>
      <c r="E177">
        <v>257</v>
      </c>
      <c r="F177" s="2">
        <v>10</v>
      </c>
      <c r="G177" s="2">
        <v>7</v>
      </c>
      <c r="H177" s="2">
        <v>1799</v>
      </c>
      <c r="I177" s="2">
        <v>143.91999999999999</v>
      </c>
      <c r="J177" s="2">
        <v>1655.08</v>
      </c>
      <c r="K177" s="2">
        <v>1285</v>
      </c>
      <c r="L177" s="2">
        <v>370.07999999999993</v>
      </c>
      <c r="M177" s="3">
        <v>41760</v>
      </c>
      <c r="N177" s="4">
        <v>5</v>
      </c>
      <c r="O177" s="1" t="s">
        <v>44</v>
      </c>
      <c r="P177" s="5" t="s">
        <v>22</v>
      </c>
      <c r="Q177" s="2">
        <f>sales[[#This Row],[Profit]]/sales[[#This Row],[Units Sold]]</f>
        <v>1.4399999999999997</v>
      </c>
    </row>
    <row r="178" spans="1:17" x14ac:dyDescent="0.25">
      <c r="A178" t="s">
        <v>17</v>
      </c>
      <c r="B178" t="s">
        <v>37</v>
      </c>
      <c r="C178" s="1" t="s">
        <v>41</v>
      </c>
      <c r="D178" s="1" t="s">
        <v>46</v>
      </c>
      <c r="E178">
        <v>1282</v>
      </c>
      <c r="F178" s="2">
        <v>260</v>
      </c>
      <c r="G178" s="2">
        <v>20</v>
      </c>
      <c r="H178" s="2">
        <v>25640</v>
      </c>
      <c r="I178" s="2">
        <v>2051.1999999999998</v>
      </c>
      <c r="J178" s="2">
        <v>23588.799999999999</v>
      </c>
      <c r="K178" s="2">
        <v>12820</v>
      </c>
      <c r="L178" s="2">
        <v>10768.8</v>
      </c>
      <c r="M178" s="3">
        <v>41791</v>
      </c>
      <c r="N178" s="4">
        <v>6</v>
      </c>
      <c r="O178" s="1" t="s">
        <v>26</v>
      </c>
      <c r="P178" s="5" t="s">
        <v>22</v>
      </c>
      <c r="Q178" s="2">
        <f>sales[[#This Row],[Profit]]/sales[[#This Row],[Units Sold]]</f>
        <v>8.3999999999999986</v>
      </c>
    </row>
    <row r="179" spans="1:17" x14ac:dyDescent="0.25">
      <c r="A179" t="s">
        <v>24</v>
      </c>
      <c r="B179" t="s">
        <v>25</v>
      </c>
      <c r="C179" s="1" t="s">
        <v>19</v>
      </c>
      <c r="D179" s="1" t="s">
        <v>46</v>
      </c>
      <c r="E179">
        <v>490</v>
      </c>
      <c r="F179" s="2">
        <v>3</v>
      </c>
      <c r="G179" s="2">
        <v>15</v>
      </c>
      <c r="H179" s="2">
        <v>7350</v>
      </c>
      <c r="I179" s="2">
        <v>588</v>
      </c>
      <c r="J179" s="2">
        <v>6762</v>
      </c>
      <c r="K179" s="2">
        <v>4900</v>
      </c>
      <c r="L179" s="2">
        <v>1862</v>
      </c>
      <c r="M179" s="3">
        <v>41944</v>
      </c>
      <c r="N179" s="4">
        <v>11</v>
      </c>
      <c r="O179" s="1" t="s">
        <v>45</v>
      </c>
      <c r="P179" s="5" t="s">
        <v>22</v>
      </c>
      <c r="Q179" s="2">
        <f>sales[[#This Row],[Profit]]/sales[[#This Row],[Units Sold]]</f>
        <v>3.8</v>
      </c>
    </row>
    <row r="180" spans="1:17" x14ac:dyDescent="0.25">
      <c r="A180" t="s">
        <v>17</v>
      </c>
      <c r="B180" t="s">
        <v>27</v>
      </c>
      <c r="C180" s="1" t="s">
        <v>19</v>
      </c>
      <c r="D180" s="1" t="s">
        <v>46</v>
      </c>
      <c r="E180">
        <v>1362</v>
      </c>
      <c r="F180" s="2">
        <v>3</v>
      </c>
      <c r="G180" s="2">
        <v>350</v>
      </c>
      <c r="H180" s="2">
        <v>476700</v>
      </c>
      <c r="I180" s="2">
        <v>38136</v>
      </c>
      <c r="J180" s="2">
        <v>438564</v>
      </c>
      <c r="K180" s="2">
        <v>354120</v>
      </c>
      <c r="L180" s="2">
        <v>84444</v>
      </c>
      <c r="M180" s="3">
        <v>41974</v>
      </c>
      <c r="N180" s="4">
        <v>12</v>
      </c>
      <c r="O180" s="1" t="s">
        <v>28</v>
      </c>
      <c r="P180" s="5" t="s">
        <v>22</v>
      </c>
      <c r="Q180" s="2">
        <f>sales[[#This Row],[Profit]]/sales[[#This Row],[Units Sold]]</f>
        <v>62</v>
      </c>
    </row>
    <row r="181" spans="1:17" x14ac:dyDescent="0.25">
      <c r="A181" t="s">
        <v>24</v>
      </c>
      <c r="B181" t="s">
        <v>25</v>
      </c>
      <c r="C181" s="1" t="s">
        <v>29</v>
      </c>
      <c r="D181" s="1" t="s">
        <v>46</v>
      </c>
      <c r="E181">
        <v>2501</v>
      </c>
      <c r="F181" s="2">
        <v>5</v>
      </c>
      <c r="G181" s="2">
        <v>15</v>
      </c>
      <c r="H181" s="2">
        <v>37515</v>
      </c>
      <c r="I181" s="2">
        <v>3001.2</v>
      </c>
      <c r="J181" s="2">
        <v>34513.800000000003</v>
      </c>
      <c r="K181" s="2">
        <v>25010</v>
      </c>
      <c r="L181" s="2">
        <v>9503.8000000000029</v>
      </c>
      <c r="M181" s="3">
        <v>41699</v>
      </c>
      <c r="N181" s="4">
        <v>3</v>
      </c>
      <c r="O181" s="1" t="s">
        <v>30</v>
      </c>
      <c r="P181" s="5" t="s">
        <v>22</v>
      </c>
      <c r="Q181" s="2">
        <f>sales[[#This Row],[Profit]]/sales[[#This Row],[Units Sold]]</f>
        <v>3.8000000000000012</v>
      </c>
    </row>
    <row r="182" spans="1:17" x14ac:dyDescent="0.25">
      <c r="A182" t="s">
        <v>17</v>
      </c>
      <c r="B182" t="s">
        <v>18</v>
      </c>
      <c r="C182" s="1" t="s">
        <v>29</v>
      </c>
      <c r="D182" s="1" t="s">
        <v>46</v>
      </c>
      <c r="E182">
        <v>708</v>
      </c>
      <c r="F182" s="2">
        <v>5</v>
      </c>
      <c r="G182" s="2">
        <v>20</v>
      </c>
      <c r="H182" s="2">
        <v>14160</v>
      </c>
      <c r="I182" s="2">
        <v>1132.8</v>
      </c>
      <c r="J182" s="2">
        <v>13027.2</v>
      </c>
      <c r="K182" s="2">
        <v>7080</v>
      </c>
      <c r="L182" s="2">
        <v>5947.2000000000007</v>
      </c>
      <c r="M182" s="3">
        <v>41791</v>
      </c>
      <c r="N182" s="4">
        <v>6</v>
      </c>
      <c r="O182" s="1" t="s">
        <v>26</v>
      </c>
      <c r="P182" s="5" t="s">
        <v>22</v>
      </c>
      <c r="Q182" s="2">
        <f>sales[[#This Row],[Profit]]/sales[[#This Row],[Units Sold]]</f>
        <v>8.4</v>
      </c>
    </row>
    <row r="183" spans="1:17" x14ac:dyDescent="0.25">
      <c r="A183" t="s">
        <v>17</v>
      </c>
      <c r="B183" t="s">
        <v>23</v>
      </c>
      <c r="C183" s="1" t="s">
        <v>29</v>
      </c>
      <c r="D183" s="1" t="s">
        <v>46</v>
      </c>
      <c r="E183">
        <v>645</v>
      </c>
      <c r="F183" s="2">
        <v>5</v>
      </c>
      <c r="G183" s="2">
        <v>20</v>
      </c>
      <c r="H183" s="2">
        <v>12900</v>
      </c>
      <c r="I183" s="2">
        <v>1032</v>
      </c>
      <c r="J183" s="2">
        <v>11868</v>
      </c>
      <c r="K183" s="2">
        <v>6450</v>
      </c>
      <c r="L183" s="2">
        <v>5418</v>
      </c>
      <c r="M183" s="3">
        <v>41821</v>
      </c>
      <c r="N183" s="4">
        <v>7</v>
      </c>
      <c r="O183" s="1" t="s">
        <v>33</v>
      </c>
      <c r="P183" s="5" t="s">
        <v>22</v>
      </c>
      <c r="Q183" s="2">
        <f>sales[[#This Row],[Profit]]/sales[[#This Row],[Units Sold]]</f>
        <v>8.4</v>
      </c>
    </row>
    <row r="184" spans="1:17" x14ac:dyDescent="0.25">
      <c r="A184" t="s">
        <v>34</v>
      </c>
      <c r="B184" t="s">
        <v>25</v>
      </c>
      <c r="C184" s="1" t="s">
        <v>29</v>
      </c>
      <c r="D184" s="1" t="s">
        <v>46</v>
      </c>
      <c r="E184">
        <v>1562</v>
      </c>
      <c r="F184" s="2">
        <v>5</v>
      </c>
      <c r="G184" s="2">
        <v>300</v>
      </c>
      <c r="H184" s="2">
        <v>468600</v>
      </c>
      <c r="I184" s="2">
        <v>37488</v>
      </c>
      <c r="J184" s="2">
        <v>431112</v>
      </c>
      <c r="K184" s="2">
        <v>390500</v>
      </c>
      <c r="L184" s="2">
        <v>40612</v>
      </c>
      <c r="M184" s="3">
        <v>41852</v>
      </c>
      <c r="N184" s="4">
        <v>8</v>
      </c>
      <c r="O184" s="1" t="s">
        <v>35</v>
      </c>
      <c r="P184" s="5" t="s">
        <v>22</v>
      </c>
      <c r="Q184" s="2">
        <f>sales[[#This Row],[Profit]]/sales[[#This Row],[Units Sold]]</f>
        <v>26</v>
      </c>
    </row>
    <row r="185" spans="1:17" x14ac:dyDescent="0.25">
      <c r="A185" t="s">
        <v>24</v>
      </c>
      <c r="B185" t="s">
        <v>23</v>
      </c>
      <c r="C185" s="1" t="s">
        <v>29</v>
      </c>
      <c r="D185" s="1" t="s">
        <v>46</v>
      </c>
      <c r="E185">
        <v>711</v>
      </c>
      <c r="F185" s="2">
        <v>5</v>
      </c>
      <c r="G185" s="2">
        <v>15</v>
      </c>
      <c r="H185" s="2">
        <v>10665</v>
      </c>
      <c r="I185" s="2">
        <v>853.2</v>
      </c>
      <c r="J185" s="2">
        <v>9811.7999999999993</v>
      </c>
      <c r="K185" s="2">
        <v>7110</v>
      </c>
      <c r="L185" s="2">
        <v>2701.7999999999993</v>
      </c>
      <c r="M185" s="3">
        <v>41974</v>
      </c>
      <c r="N185" s="4">
        <v>12</v>
      </c>
      <c r="O185" s="1" t="s">
        <v>28</v>
      </c>
      <c r="P185" s="5" t="s">
        <v>22</v>
      </c>
      <c r="Q185" s="2">
        <f>sales[[#This Row],[Profit]]/sales[[#This Row],[Units Sold]]</f>
        <v>3.7999999999999989</v>
      </c>
    </row>
    <row r="186" spans="1:17" x14ac:dyDescent="0.25">
      <c r="A186" t="s">
        <v>17</v>
      </c>
      <c r="B186" t="s">
        <v>23</v>
      </c>
      <c r="C186" s="1" t="s">
        <v>38</v>
      </c>
      <c r="D186" s="1" t="s">
        <v>46</v>
      </c>
      <c r="E186">
        <v>1259</v>
      </c>
      <c r="F186" s="2">
        <v>10</v>
      </c>
      <c r="G186" s="2">
        <v>7</v>
      </c>
      <c r="H186" s="2">
        <v>8813</v>
      </c>
      <c r="I186" s="2">
        <v>705.04</v>
      </c>
      <c r="J186" s="2">
        <v>8107.96</v>
      </c>
      <c r="K186" s="2">
        <v>6295</v>
      </c>
      <c r="L186" s="2">
        <v>1812.96</v>
      </c>
      <c r="M186" s="3">
        <v>41730</v>
      </c>
      <c r="N186" s="4">
        <v>4</v>
      </c>
      <c r="O186" s="1" t="s">
        <v>42</v>
      </c>
      <c r="P186" s="5" t="s">
        <v>22</v>
      </c>
      <c r="Q186" s="2">
        <f>sales[[#This Row],[Profit]]/sales[[#This Row],[Units Sold]]</f>
        <v>1.44</v>
      </c>
    </row>
    <row r="187" spans="1:17" x14ac:dyDescent="0.25">
      <c r="A187" t="s">
        <v>17</v>
      </c>
      <c r="B187" t="s">
        <v>23</v>
      </c>
      <c r="C187" s="1" t="s">
        <v>38</v>
      </c>
      <c r="D187" s="1" t="s">
        <v>46</v>
      </c>
      <c r="E187">
        <v>1095</v>
      </c>
      <c r="F187" s="2">
        <v>10</v>
      </c>
      <c r="G187" s="2">
        <v>7</v>
      </c>
      <c r="H187" s="2">
        <v>7665</v>
      </c>
      <c r="I187" s="2">
        <v>613.20000000000005</v>
      </c>
      <c r="J187" s="2">
        <v>7051.8</v>
      </c>
      <c r="K187" s="2">
        <v>5475</v>
      </c>
      <c r="L187" s="2">
        <v>1576.8000000000002</v>
      </c>
      <c r="M187" s="3">
        <v>41760</v>
      </c>
      <c r="N187" s="4">
        <v>5</v>
      </c>
      <c r="O187" s="1" t="s">
        <v>44</v>
      </c>
      <c r="P187" s="5" t="s">
        <v>22</v>
      </c>
      <c r="Q187" s="2">
        <f>sales[[#This Row],[Profit]]/sales[[#This Row],[Units Sold]]</f>
        <v>1.4400000000000002</v>
      </c>
    </row>
    <row r="188" spans="1:17" x14ac:dyDescent="0.25">
      <c r="A188" t="s">
        <v>17</v>
      </c>
      <c r="B188" t="s">
        <v>23</v>
      </c>
      <c r="C188" s="1" t="s">
        <v>38</v>
      </c>
      <c r="D188" s="1" t="s">
        <v>46</v>
      </c>
      <c r="E188">
        <v>1366</v>
      </c>
      <c r="F188" s="2">
        <v>10</v>
      </c>
      <c r="G188" s="2">
        <v>20</v>
      </c>
      <c r="H188" s="2">
        <v>27320</v>
      </c>
      <c r="I188" s="2">
        <v>2185.6</v>
      </c>
      <c r="J188" s="2">
        <v>25134.400000000001</v>
      </c>
      <c r="K188" s="2">
        <v>13660</v>
      </c>
      <c r="L188" s="2">
        <v>11474.400000000001</v>
      </c>
      <c r="M188" s="3">
        <v>41791</v>
      </c>
      <c r="N188" s="4">
        <v>6</v>
      </c>
      <c r="O188" s="1" t="s">
        <v>26</v>
      </c>
      <c r="P188" s="5" t="s">
        <v>22</v>
      </c>
      <c r="Q188" s="2">
        <f>sales[[#This Row],[Profit]]/sales[[#This Row],[Units Sold]]</f>
        <v>8.4</v>
      </c>
    </row>
    <row r="189" spans="1:17" x14ac:dyDescent="0.25">
      <c r="A189" t="s">
        <v>34</v>
      </c>
      <c r="B189" t="s">
        <v>27</v>
      </c>
      <c r="C189" s="1" t="s">
        <v>38</v>
      </c>
      <c r="D189" s="1" t="s">
        <v>46</v>
      </c>
      <c r="E189">
        <v>2460</v>
      </c>
      <c r="F189" s="2">
        <v>10</v>
      </c>
      <c r="G189" s="2">
        <v>300</v>
      </c>
      <c r="H189" s="2">
        <v>738000</v>
      </c>
      <c r="I189" s="2">
        <v>59040</v>
      </c>
      <c r="J189" s="2">
        <v>678960</v>
      </c>
      <c r="K189" s="2">
        <v>615000</v>
      </c>
      <c r="L189" s="2">
        <v>63960</v>
      </c>
      <c r="M189" s="3">
        <v>41791</v>
      </c>
      <c r="N189" s="4">
        <v>6</v>
      </c>
      <c r="O189" s="1" t="s">
        <v>26</v>
      </c>
      <c r="P189" s="5" t="s">
        <v>22</v>
      </c>
      <c r="Q189" s="2">
        <f>sales[[#This Row],[Profit]]/sales[[#This Row],[Units Sold]]</f>
        <v>26</v>
      </c>
    </row>
    <row r="190" spans="1:17" x14ac:dyDescent="0.25">
      <c r="A190" t="s">
        <v>17</v>
      </c>
      <c r="B190" t="s">
        <v>37</v>
      </c>
      <c r="C190" s="1" t="s">
        <v>38</v>
      </c>
      <c r="D190" s="1" t="s">
        <v>46</v>
      </c>
      <c r="E190">
        <v>678</v>
      </c>
      <c r="F190" s="2">
        <v>10</v>
      </c>
      <c r="G190" s="2">
        <v>7</v>
      </c>
      <c r="H190" s="2">
        <v>4746</v>
      </c>
      <c r="I190" s="2">
        <v>379.68</v>
      </c>
      <c r="J190" s="2">
        <v>4366.32</v>
      </c>
      <c r="K190" s="2">
        <v>3390</v>
      </c>
      <c r="L190" s="2">
        <v>976.31999999999971</v>
      </c>
      <c r="M190" s="3">
        <v>41852</v>
      </c>
      <c r="N190" s="4">
        <v>8</v>
      </c>
      <c r="O190" s="1" t="s">
        <v>35</v>
      </c>
      <c r="P190" s="5" t="s">
        <v>22</v>
      </c>
      <c r="Q190" s="2">
        <f>sales[[#This Row],[Profit]]/sales[[#This Row],[Units Sold]]</f>
        <v>1.4399999999999995</v>
      </c>
    </row>
    <row r="191" spans="1:17" x14ac:dyDescent="0.25">
      <c r="A191" t="s">
        <v>17</v>
      </c>
      <c r="B191" t="s">
        <v>23</v>
      </c>
      <c r="C191" s="1" t="s">
        <v>38</v>
      </c>
      <c r="D191" s="1" t="s">
        <v>46</v>
      </c>
      <c r="E191">
        <v>1598</v>
      </c>
      <c r="F191" s="2">
        <v>10</v>
      </c>
      <c r="G191" s="2">
        <v>7</v>
      </c>
      <c r="H191" s="2">
        <v>11186</v>
      </c>
      <c r="I191" s="2">
        <v>894.88</v>
      </c>
      <c r="J191" s="2">
        <v>10291.120000000001</v>
      </c>
      <c r="K191" s="2">
        <v>7990</v>
      </c>
      <c r="L191" s="2">
        <v>2301.1200000000008</v>
      </c>
      <c r="M191" s="3">
        <v>41852</v>
      </c>
      <c r="N191" s="4">
        <v>8</v>
      </c>
      <c r="O191" s="1" t="s">
        <v>35</v>
      </c>
      <c r="P191" s="5" t="s">
        <v>22</v>
      </c>
      <c r="Q191" s="2">
        <f>sales[[#This Row],[Profit]]/sales[[#This Row],[Units Sold]]</f>
        <v>1.4400000000000004</v>
      </c>
    </row>
    <row r="192" spans="1:17" x14ac:dyDescent="0.25">
      <c r="A192" t="s">
        <v>17</v>
      </c>
      <c r="B192" t="s">
        <v>23</v>
      </c>
      <c r="C192" s="1" t="s">
        <v>38</v>
      </c>
      <c r="D192" s="1" t="s">
        <v>46</v>
      </c>
      <c r="E192">
        <v>1934</v>
      </c>
      <c r="F192" s="2">
        <v>10</v>
      </c>
      <c r="G192" s="2">
        <v>20</v>
      </c>
      <c r="H192" s="2">
        <v>38680</v>
      </c>
      <c r="I192" s="2">
        <v>3094.4</v>
      </c>
      <c r="J192" s="2">
        <v>35585.599999999999</v>
      </c>
      <c r="K192" s="2">
        <v>19340</v>
      </c>
      <c r="L192" s="2">
        <v>16245.599999999999</v>
      </c>
      <c r="M192" s="3">
        <v>41883</v>
      </c>
      <c r="N192" s="4">
        <v>9</v>
      </c>
      <c r="O192" s="1" t="s">
        <v>36</v>
      </c>
      <c r="P192" s="5" t="s">
        <v>22</v>
      </c>
      <c r="Q192" s="2">
        <f>sales[[#This Row],[Profit]]/sales[[#This Row],[Units Sold]]</f>
        <v>8.3999999999999986</v>
      </c>
    </row>
    <row r="193" spans="1:17" x14ac:dyDescent="0.25">
      <c r="A193" t="s">
        <v>17</v>
      </c>
      <c r="B193" t="s">
        <v>27</v>
      </c>
      <c r="C193" s="1" t="s">
        <v>38</v>
      </c>
      <c r="D193" s="1" t="s">
        <v>46</v>
      </c>
      <c r="E193">
        <v>2993</v>
      </c>
      <c r="F193" s="2">
        <v>10</v>
      </c>
      <c r="G193" s="2">
        <v>20</v>
      </c>
      <c r="H193" s="2">
        <v>59860</v>
      </c>
      <c r="I193" s="2">
        <v>4788.8</v>
      </c>
      <c r="J193" s="2">
        <v>55071.199999999997</v>
      </c>
      <c r="K193" s="2">
        <v>29930</v>
      </c>
      <c r="L193" s="2">
        <v>25141.199999999997</v>
      </c>
      <c r="M193" s="3">
        <v>41883</v>
      </c>
      <c r="N193" s="4">
        <v>9</v>
      </c>
      <c r="O193" s="1" t="s">
        <v>36</v>
      </c>
      <c r="P193" s="5" t="s">
        <v>22</v>
      </c>
      <c r="Q193" s="2">
        <f>sales[[#This Row],[Profit]]/sales[[#This Row],[Units Sold]]</f>
        <v>8.3999999999999986</v>
      </c>
    </row>
    <row r="194" spans="1:17" x14ac:dyDescent="0.25">
      <c r="A194" t="s">
        <v>17</v>
      </c>
      <c r="B194" t="s">
        <v>27</v>
      </c>
      <c r="C194" s="1" t="s">
        <v>38</v>
      </c>
      <c r="D194" s="1" t="s">
        <v>46</v>
      </c>
      <c r="E194">
        <v>1362</v>
      </c>
      <c r="F194" s="2">
        <v>10</v>
      </c>
      <c r="G194" s="2">
        <v>350</v>
      </c>
      <c r="H194" s="2">
        <v>476700</v>
      </c>
      <c r="I194" s="2">
        <v>38136</v>
      </c>
      <c r="J194" s="2">
        <v>438564</v>
      </c>
      <c r="K194" s="2">
        <v>354120</v>
      </c>
      <c r="L194" s="2">
        <v>84444</v>
      </c>
      <c r="M194" s="3">
        <v>41974</v>
      </c>
      <c r="N194" s="4">
        <v>12</v>
      </c>
      <c r="O194" s="1" t="s">
        <v>28</v>
      </c>
      <c r="P194" s="5" t="s">
        <v>22</v>
      </c>
      <c r="Q194" s="2">
        <f>sales[[#This Row],[Profit]]/sales[[#This Row],[Units Sold]]</f>
        <v>62</v>
      </c>
    </row>
    <row r="195" spans="1:17" x14ac:dyDescent="0.25">
      <c r="A195" t="s">
        <v>17</v>
      </c>
      <c r="B195" t="s">
        <v>18</v>
      </c>
      <c r="C195" s="1" t="s">
        <v>41</v>
      </c>
      <c r="D195" s="1" t="s">
        <v>46</v>
      </c>
      <c r="E195">
        <v>708</v>
      </c>
      <c r="F195" s="2">
        <v>260</v>
      </c>
      <c r="G195" s="2">
        <v>20</v>
      </c>
      <c r="H195" s="2">
        <v>14160</v>
      </c>
      <c r="I195" s="2">
        <v>1132.8</v>
      </c>
      <c r="J195" s="2">
        <v>13027.2</v>
      </c>
      <c r="K195" s="2">
        <v>7080</v>
      </c>
      <c r="L195" s="2">
        <v>5947.2000000000007</v>
      </c>
      <c r="M195" s="3">
        <v>41791</v>
      </c>
      <c r="N195" s="4">
        <v>6</v>
      </c>
      <c r="O195" s="1" t="s">
        <v>26</v>
      </c>
      <c r="P195" s="5" t="s">
        <v>22</v>
      </c>
      <c r="Q195" s="2">
        <f>sales[[#This Row],[Profit]]/sales[[#This Row],[Units Sold]]</f>
        <v>8.4</v>
      </c>
    </row>
    <row r="196" spans="1:17" x14ac:dyDescent="0.25">
      <c r="A196" t="s">
        <v>17</v>
      </c>
      <c r="B196" t="s">
        <v>37</v>
      </c>
      <c r="C196" s="1" t="s">
        <v>41</v>
      </c>
      <c r="D196" s="1" t="s">
        <v>46</v>
      </c>
      <c r="E196">
        <v>2907</v>
      </c>
      <c r="F196" s="2">
        <v>260</v>
      </c>
      <c r="G196" s="2">
        <v>7</v>
      </c>
      <c r="H196" s="2">
        <v>20349</v>
      </c>
      <c r="I196" s="2">
        <v>1627.92</v>
      </c>
      <c r="J196" s="2">
        <v>18721.080000000002</v>
      </c>
      <c r="K196" s="2">
        <v>14535</v>
      </c>
      <c r="L196" s="2">
        <v>4186.0800000000017</v>
      </c>
      <c r="M196" s="3">
        <v>41791</v>
      </c>
      <c r="N196" s="4">
        <v>6</v>
      </c>
      <c r="O196" s="1" t="s">
        <v>26</v>
      </c>
      <c r="P196" s="5" t="s">
        <v>22</v>
      </c>
      <c r="Q196" s="2">
        <f>sales[[#This Row],[Profit]]/sales[[#This Row],[Units Sold]]</f>
        <v>1.4400000000000006</v>
      </c>
    </row>
    <row r="197" spans="1:17" x14ac:dyDescent="0.25">
      <c r="A197" t="s">
        <v>17</v>
      </c>
      <c r="B197" t="s">
        <v>23</v>
      </c>
      <c r="C197" s="1" t="s">
        <v>41</v>
      </c>
      <c r="D197" s="1" t="s">
        <v>46</v>
      </c>
      <c r="E197">
        <v>1366</v>
      </c>
      <c r="F197" s="2">
        <v>260</v>
      </c>
      <c r="G197" s="2">
        <v>20</v>
      </c>
      <c r="H197" s="2">
        <v>27320</v>
      </c>
      <c r="I197" s="2">
        <v>2185.6</v>
      </c>
      <c r="J197" s="2">
        <v>25134.400000000001</v>
      </c>
      <c r="K197" s="2">
        <v>13660</v>
      </c>
      <c r="L197" s="2">
        <v>11474.400000000001</v>
      </c>
      <c r="M197" s="3">
        <v>41791</v>
      </c>
      <c r="N197" s="4">
        <v>6</v>
      </c>
      <c r="O197" s="1" t="s">
        <v>26</v>
      </c>
      <c r="P197" s="5" t="s">
        <v>22</v>
      </c>
      <c r="Q197" s="2">
        <f>sales[[#This Row],[Profit]]/sales[[#This Row],[Units Sold]]</f>
        <v>8.4</v>
      </c>
    </row>
    <row r="198" spans="1:17" x14ac:dyDescent="0.25">
      <c r="A198" t="s">
        <v>34</v>
      </c>
      <c r="B198" t="s">
        <v>27</v>
      </c>
      <c r="C198" s="1" t="s">
        <v>41</v>
      </c>
      <c r="D198" s="1" t="s">
        <v>46</v>
      </c>
      <c r="E198">
        <v>2460</v>
      </c>
      <c r="F198" s="2">
        <v>260</v>
      </c>
      <c r="G198" s="2">
        <v>300</v>
      </c>
      <c r="H198" s="2">
        <v>738000</v>
      </c>
      <c r="I198" s="2">
        <v>59040</v>
      </c>
      <c r="J198" s="2">
        <v>678960</v>
      </c>
      <c r="K198" s="2">
        <v>615000</v>
      </c>
      <c r="L198" s="2">
        <v>63960</v>
      </c>
      <c r="M198" s="3">
        <v>41791</v>
      </c>
      <c r="N198" s="4">
        <v>6</v>
      </c>
      <c r="O198" s="1" t="s">
        <v>26</v>
      </c>
      <c r="P198" s="5" t="s">
        <v>22</v>
      </c>
      <c r="Q198" s="2">
        <f>sales[[#This Row],[Profit]]/sales[[#This Row],[Units Sold]]</f>
        <v>26</v>
      </c>
    </row>
    <row r="199" spans="1:17" x14ac:dyDescent="0.25">
      <c r="A199" t="s">
        <v>17</v>
      </c>
      <c r="B199" t="s">
        <v>23</v>
      </c>
      <c r="C199" s="1" t="s">
        <v>41</v>
      </c>
      <c r="D199" s="1" t="s">
        <v>46</v>
      </c>
      <c r="E199">
        <v>1520</v>
      </c>
      <c r="F199" s="2">
        <v>260</v>
      </c>
      <c r="G199" s="2">
        <v>20</v>
      </c>
      <c r="H199" s="2">
        <v>30400</v>
      </c>
      <c r="I199" s="2">
        <v>2432</v>
      </c>
      <c r="J199" s="2">
        <v>27968</v>
      </c>
      <c r="K199" s="2">
        <v>15200</v>
      </c>
      <c r="L199" s="2">
        <v>12768</v>
      </c>
      <c r="M199" s="3">
        <v>41944</v>
      </c>
      <c r="N199" s="4">
        <v>11</v>
      </c>
      <c r="O199" s="1" t="s">
        <v>45</v>
      </c>
      <c r="P199" s="5" t="s">
        <v>22</v>
      </c>
      <c r="Q199" s="2">
        <f>sales[[#This Row],[Profit]]/sales[[#This Row],[Units Sold]]</f>
        <v>8.4</v>
      </c>
    </row>
    <row r="200" spans="1:17" x14ac:dyDescent="0.25">
      <c r="A200" t="s">
        <v>24</v>
      </c>
      <c r="B200" t="s">
        <v>23</v>
      </c>
      <c r="C200" s="1" t="s">
        <v>41</v>
      </c>
      <c r="D200" s="1" t="s">
        <v>46</v>
      </c>
      <c r="E200">
        <v>711</v>
      </c>
      <c r="F200" s="2">
        <v>260</v>
      </c>
      <c r="G200" s="2">
        <v>15</v>
      </c>
      <c r="H200" s="2">
        <v>10665</v>
      </c>
      <c r="I200" s="2">
        <v>853.2</v>
      </c>
      <c r="J200" s="2">
        <v>9811.7999999999993</v>
      </c>
      <c r="K200" s="2">
        <v>7110</v>
      </c>
      <c r="L200" s="2">
        <v>2701.7999999999993</v>
      </c>
      <c r="M200" s="3">
        <v>41974</v>
      </c>
      <c r="N200" s="4">
        <v>12</v>
      </c>
      <c r="O200" s="1" t="s">
        <v>28</v>
      </c>
      <c r="P200" s="5" t="s">
        <v>22</v>
      </c>
      <c r="Q200" s="2">
        <f>sales[[#This Row],[Profit]]/sales[[#This Row],[Units Sold]]</f>
        <v>3.7999999999999989</v>
      </c>
    </row>
    <row r="201" spans="1:17" x14ac:dyDescent="0.25">
      <c r="A201" t="s">
        <v>34</v>
      </c>
      <c r="B201" t="s">
        <v>27</v>
      </c>
      <c r="C201" s="1" t="s">
        <v>41</v>
      </c>
      <c r="D201" s="1" t="s">
        <v>46</v>
      </c>
      <c r="E201">
        <v>635</v>
      </c>
      <c r="F201" s="2">
        <v>260</v>
      </c>
      <c r="G201" s="2">
        <v>300</v>
      </c>
      <c r="H201" s="2">
        <v>190500</v>
      </c>
      <c r="I201" s="2">
        <v>15240</v>
      </c>
      <c r="J201" s="2">
        <v>175260</v>
      </c>
      <c r="K201" s="2">
        <v>158750</v>
      </c>
      <c r="L201" s="2">
        <v>16510</v>
      </c>
      <c r="M201" s="3">
        <v>41974</v>
      </c>
      <c r="N201" s="4">
        <v>12</v>
      </c>
      <c r="O201" s="1" t="s">
        <v>28</v>
      </c>
      <c r="P201" s="5" t="s">
        <v>22</v>
      </c>
      <c r="Q201" s="2">
        <f>sales[[#This Row],[Profit]]/sales[[#This Row],[Units Sold]]</f>
        <v>26</v>
      </c>
    </row>
    <row r="202" spans="1:17" x14ac:dyDescent="0.25">
      <c r="A202" t="s">
        <v>34</v>
      </c>
      <c r="B202" t="s">
        <v>18</v>
      </c>
      <c r="C202" s="1" t="s">
        <v>19</v>
      </c>
      <c r="D202" s="1" t="s">
        <v>46</v>
      </c>
      <c r="E202">
        <v>1094</v>
      </c>
      <c r="F202" s="2">
        <v>3</v>
      </c>
      <c r="G202" s="2">
        <v>300</v>
      </c>
      <c r="H202" s="2">
        <v>328200</v>
      </c>
      <c r="I202" s="2">
        <v>29538</v>
      </c>
      <c r="J202" s="2">
        <v>298662</v>
      </c>
      <c r="K202" s="2">
        <v>273500</v>
      </c>
      <c r="L202" s="2">
        <v>25162</v>
      </c>
      <c r="M202" s="3">
        <v>41791</v>
      </c>
      <c r="N202" s="4">
        <v>6</v>
      </c>
      <c r="O202" s="1" t="s">
        <v>26</v>
      </c>
      <c r="P202" s="5" t="s">
        <v>22</v>
      </c>
      <c r="Q202" s="2">
        <f>sales[[#This Row],[Profit]]/sales[[#This Row],[Units Sold]]</f>
        <v>23</v>
      </c>
    </row>
    <row r="203" spans="1:17" x14ac:dyDescent="0.25">
      <c r="A203" t="s">
        <v>34</v>
      </c>
      <c r="B203" t="s">
        <v>18</v>
      </c>
      <c r="C203" s="1" t="s">
        <v>29</v>
      </c>
      <c r="D203" s="1" t="s">
        <v>46</v>
      </c>
      <c r="E203">
        <v>3802.5</v>
      </c>
      <c r="F203" s="2">
        <v>5</v>
      </c>
      <c r="G203" s="2">
        <v>300</v>
      </c>
      <c r="H203" s="2">
        <v>1140750</v>
      </c>
      <c r="I203" s="2">
        <v>102667.5</v>
      </c>
      <c r="J203" s="2">
        <v>1038082.5</v>
      </c>
      <c r="K203" s="2">
        <v>950625</v>
      </c>
      <c r="L203" s="2">
        <v>87457.5</v>
      </c>
      <c r="M203" s="3">
        <v>41730</v>
      </c>
      <c r="N203" s="4">
        <v>4</v>
      </c>
      <c r="O203" s="1" t="s">
        <v>42</v>
      </c>
      <c r="P203" s="5" t="s">
        <v>22</v>
      </c>
      <c r="Q203" s="2">
        <f>sales[[#This Row],[Profit]]/sales[[#This Row],[Units Sold]]</f>
        <v>23</v>
      </c>
    </row>
    <row r="204" spans="1:17" x14ac:dyDescent="0.25">
      <c r="A204" t="s">
        <v>17</v>
      </c>
      <c r="B204" t="s">
        <v>25</v>
      </c>
      <c r="C204" s="1" t="s">
        <v>29</v>
      </c>
      <c r="D204" s="1" t="s">
        <v>46</v>
      </c>
      <c r="E204">
        <v>1666</v>
      </c>
      <c r="F204" s="2">
        <v>5</v>
      </c>
      <c r="G204" s="2">
        <v>350</v>
      </c>
      <c r="H204" s="2">
        <v>583100</v>
      </c>
      <c r="I204" s="2">
        <v>52479</v>
      </c>
      <c r="J204" s="2">
        <v>530621</v>
      </c>
      <c r="K204" s="2">
        <v>433160</v>
      </c>
      <c r="L204" s="2">
        <v>97461</v>
      </c>
      <c r="M204" s="3">
        <v>41760</v>
      </c>
      <c r="N204" s="4">
        <v>5</v>
      </c>
      <c r="O204" s="1" t="s">
        <v>44</v>
      </c>
      <c r="P204" s="5" t="s">
        <v>22</v>
      </c>
      <c r="Q204" s="2">
        <f>sales[[#This Row],[Profit]]/sales[[#This Row],[Units Sold]]</f>
        <v>58.5</v>
      </c>
    </row>
    <row r="205" spans="1:17" x14ac:dyDescent="0.25">
      <c r="A205" t="s">
        <v>31</v>
      </c>
      <c r="B205" t="s">
        <v>18</v>
      </c>
      <c r="C205" s="1" t="s">
        <v>29</v>
      </c>
      <c r="D205" s="1" t="s">
        <v>46</v>
      </c>
      <c r="E205">
        <v>2321</v>
      </c>
      <c r="F205" s="2">
        <v>5</v>
      </c>
      <c r="G205" s="2">
        <v>12</v>
      </c>
      <c r="H205" s="2">
        <v>27852</v>
      </c>
      <c r="I205" s="2">
        <v>2506.6799999999998</v>
      </c>
      <c r="J205" s="2">
        <v>25345.32</v>
      </c>
      <c r="K205" s="2">
        <v>6963</v>
      </c>
      <c r="L205" s="2">
        <v>18382.32</v>
      </c>
      <c r="M205" s="3">
        <v>41944</v>
      </c>
      <c r="N205" s="4">
        <v>11</v>
      </c>
      <c r="O205" s="1" t="s">
        <v>45</v>
      </c>
      <c r="P205" s="5" t="s">
        <v>22</v>
      </c>
      <c r="Q205" s="2">
        <f>sales[[#This Row],[Profit]]/sales[[#This Row],[Units Sold]]</f>
        <v>7.92</v>
      </c>
    </row>
    <row r="206" spans="1:17" x14ac:dyDescent="0.25">
      <c r="A206" t="s">
        <v>34</v>
      </c>
      <c r="B206" t="s">
        <v>27</v>
      </c>
      <c r="C206" s="1" t="s">
        <v>38</v>
      </c>
      <c r="D206" s="1" t="s">
        <v>46</v>
      </c>
      <c r="E206">
        <v>2565</v>
      </c>
      <c r="F206" s="2">
        <v>10</v>
      </c>
      <c r="G206" s="2">
        <v>300</v>
      </c>
      <c r="H206" s="2">
        <v>769500</v>
      </c>
      <c r="I206" s="2">
        <v>69255</v>
      </c>
      <c r="J206" s="2">
        <v>700245</v>
      </c>
      <c r="K206" s="2">
        <v>641250</v>
      </c>
      <c r="L206" s="2">
        <v>58995</v>
      </c>
      <c r="M206" s="3">
        <v>41640</v>
      </c>
      <c r="N206" s="4">
        <v>1</v>
      </c>
      <c r="O206" s="1" t="s">
        <v>21</v>
      </c>
      <c r="P206" s="5" t="s">
        <v>22</v>
      </c>
      <c r="Q206" s="2">
        <f>sales[[#This Row],[Profit]]/sales[[#This Row],[Units Sold]]</f>
        <v>23</v>
      </c>
    </row>
    <row r="207" spans="1:17" x14ac:dyDescent="0.25">
      <c r="A207" t="s">
        <v>17</v>
      </c>
      <c r="B207" t="s">
        <v>27</v>
      </c>
      <c r="C207" s="1" t="s">
        <v>38</v>
      </c>
      <c r="D207" s="1" t="s">
        <v>46</v>
      </c>
      <c r="E207">
        <v>2417</v>
      </c>
      <c r="F207" s="2">
        <v>10</v>
      </c>
      <c r="G207" s="2">
        <v>350</v>
      </c>
      <c r="H207" s="2">
        <v>845950</v>
      </c>
      <c r="I207" s="2">
        <v>76135.5</v>
      </c>
      <c r="J207" s="2">
        <v>769814.5</v>
      </c>
      <c r="K207" s="2">
        <v>628420</v>
      </c>
      <c r="L207" s="2">
        <v>141394.5</v>
      </c>
      <c r="M207" s="3">
        <v>41640</v>
      </c>
      <c r="N207" s="4">
        <v>1</v>
      </c>
      <c r="O207" s="1" t="s">
        <v>21</v>
      </c>
      <c r="P207" s="5" t="s">
        <v>22</v>
      </c>
      <c r="Q207" s="2">
        <f>sales[[#This Row],[Profit]]/sales[[#This Row],[Units Sold]]</f>
        <v>58.5</v>
      </c>
    </row>
    <row r="208" spans="1:17" x14ac:dyDescent="0.25">
      <c r="A208" t="s">
        <v>24</v>
      </c>
      <c r="B208" t="s">
        <v>37</v>
      </c>
      <c r="C208" s="1" t="s">
        <v>38</v>
      </c>
      <c r="D208" s="1" t="s">
        <v>46</v>
      </c>
      <c r="E208">
        <v>3675</v>
      </c>
      <c r="F208" s="2">
        <v>10</v>
      </c>
      <c r="G208" s="2">
        <v>15</v>
      </c>
      <c r="H208" s="2">
        <v>55125</v>
      </c>
      <c r="I208" s="2">
        <v>4961.25</v>
      </c>
      <c r="J208" s="2">
        <v>50163.75</v>
      </c>
      <c r="K208" s="2">
        <v>36750</v>
      </c>
      <c r="L208" s="2">
        <v>13413.75</v>
      </c>
      <c r="M208" s="3">
        <v>41730</v>
      </c>
      <c r="N208" s="4">
        <v>4</v>
      </c>
      <c r="O208" s="1" t="s">
        <v>42</v>
      </c>
      <c r="P208" s="5" t="s">
        <v>22</v>
      </c>
      <c r="Q208" s="2">
        <f>sales[[#This Row],[Profit]]/sales[[#This Row],[Units Sold]]</f>
        <v>3.65</v>
      </c>
    </row>
    <row r="209" spans="1:17" x14ac:dyDescent="0.25">
      <c r="A209" t="s">
        <v>34</v>
      </c>
      <c r="B209" t="s">
        <v>18</v>
      </c>
      <c r="C209" s="1" t="s">
        <v>38</v>
      </c>
      <c r="D209" s="1" t="s">
        <v>46</v>
      </c>
      <c r="E209">
        <v>1094</v>
      </c>
      <c r="F209" s="2">
        <v>10</v>
      </c>
      <c r="G209" s="2">
        <v>300</v>
      </c>
      <c r="H209" s="2">
        <v>328200</v>
      </c>
      <c r="I209" s="2">
        <v>29538</v>
      </c>
      <c r="J209" s="2">
        <v>298662</v>
      </c>
      <c r="K209" s="2">
        <v>273500</v>
      </c>
      <c r="L209" s="2">
        <v>25162</v>
      </c>
      <c r="M209" s="3">
        <v>41791</v>
      </c>
      <c r="N209" s="4">
        <v>6</v>
      </c>
      <c r="O209" s="1" t="s">
        <v>26</v>
      </c>
      <c r="P209" s="5" t="s">
        <v>22</v>
      </c>
      <c r="Q209" s="2">
        <f>sales[[#This Row],[Profit]]/sales[[#This Row],[Units Sold]]</f>
        <v>23</v>
      </c>
    </row>
    <row r="210" spans="1:17" x14ac:dyDescent="0.25">
      <c r="A210" t="s">
        <v>24</v>
      </c>
      <c r="B210" t="s">
        <v>25</v>
      </c>
      <c r="C210" s="1" t="s">
        <v>38</v>
      </c>
      <c r="D210" s="1" t="s">
        <v>46</v>
      </c>
      <c r="E210">
        <v>1227</v>
      </c>
      <c r="F210" s="2">
        <v>10</v>
      </c>
      <c r="G210" s="2">
        <v>15</v>
      </c>
      <c r="H210" s="2">
        <v>18405</v>
      </c>
      <c r="I210" s="2">
        <v>1656.45</v>
      </c>
      <c r="J210" s="2">
        <v>16748.55</v>
      </c>
      <c r="K210" s="2">
        <v>12270</v>
      </c>
      <c r="L210" s="2">
        <v>4478.5499999999993</v>
      </c>
      <c r="M210" s="3">
        <v>41913</v>
      </c>
      <c r="N210" s="4">
        <v>10</v>
      </c>
      <c r="O210" s="1" t="s">
        <v>40</v>
      </c>
      <c r="P210" s="5" t="s">
        <v>22</v>
      </c>
      <c r="Q210" s="2">
        <f>sales[[#This Row],[Profit]]/sales[[#This Row],[Units Sold]]</f>
        <v>3.6499999999999995</v>
      </c>
    </row>
    <row r="211" spans="1:17" x14ac:dyDescent="0.25">
      <c r="A211" t="s">
        <v>34</v>
      </c>
      <c r="B211" t="s">
        <v>25</v>
      </c>
      <c r="C211" s="1" t="s">
        <v>38</v>
      </c>
      <c r="D211" s="1" t="s">
        <v>46</v>
      </c>
      <c r="E211">
        <v>1324</v>
      </c>
      <c r="F211" s="2">
        <v>10</v>
      </c>
      <c r="G211" s="2">
        <v>300</v>
      </c>
      <c r="H211" s="2">
        <v>397200</v>
      </c>
      <c r="I211" s="2">
        <v>35748</v>
      </c>
      <c r="J211" s="2">
        <v>361452</v>
      </c>
      <c r="K211" s="2">
        <v>331000</v>
      </c>
      <c r="L211" s="2">
        <v>30452</v>
      </c>
      <c r="M211" s="3">
        <v>41944</v>
      </c>
      <c r="N211" s="4">
        <v>11</v>
      </c>
      <c r="O211" s="1" t="s">
        <v>45</v>
      </c>
      <c r="P211" s="5" t="s">
        <v>22</v>
      </c>
      <c r="Q211" s="2">
        <f>sales[[#This Row],[Profit]]/sales[[#This Row],[Units Sold]]</f>
        <v>23</v>
      </c>
    </row>
    <row r="212" spans="1:17" x14ac:dyDescent="0.25">
      <c r="A212" t="s">
        <v>17</v>
      </c>
      <c r="B212" t="s">
        <v>37</v>
      </c>
      <c r="C212" s="1" t="s">
        <v>41</v>
      </c>
      <c r="D212" s="1" t="s">
        <v>46</v>
      </c>
      <c r="E212">
        <v>2071</v>
      </c>
      <c r="F212" s="2">
        <v>260</v>
      </c>
      <c r="G212" s="2">
        <v>350</v>
      </c>
      <c r="H212" s="2">
        <v>724850</v>
      </c>
      <c r="I212" s="2">
        <v>65236.5</v>
      </c>
      <c r="J212" s="2">
        <v>659613.5</v>
      </c>
      <c r="K212" s="2">
        <v>538460</v>
      </c>
      <c r="L212" s="2">
        <v>121153.5</v>
      </c>
      <c r="M212" s="3">
        <v>41883</v>
      </c>
      <c r="N212" s="4">
        <v>9</v>
      </c>
      <c r="O212" s="1" t="s">
        <v>36</v>
      </c>
      <c r="P212" s="5" t="s">
        <v>22</v>
      </c>
      <c r="Q212" s="2">
        <f>sales[[#This Row],[Profit]]/sales[[#This Row],[Units Sold]]</f>
        <v>58.5</v>
      </c>
    </row>
    <row r="213" spans="1:17" x14ac:dyDescent="0.25">
      <c r="A213" t="s">
        <v>17</v>
      </c>
      <c r="B213" t="s">
        <v>18</v>
      </c>
      <c r="C213" s="1" t="s">
        <v>41</v>
      </c>
      <c r="D213" s="1" t="s">
        <v>46</v>
      </c>
      <c r="E213">
        <v>1269</v>
      </c>
      <c r="F213" s="2">
        <v>260</v>
      </c>
      <c r="G213" s="2">
        <v>350</v>
      </c>
      <c r="H213" s="2">
        <v>444150</v>
      </c>
      <c r="I213" s="2">
        <v>39973.5</v>
      </c>
      <c r="J213" s="2">
        <v>404176.5</v>
      </c>
      <c r="K213" s="2">
        <v>329940</v>
      </c>
      <c r="L213" s="2">
        <v>74236.5</v>
      </c>
      <c r="M213" s="3">
        <v>41913</v>
      </c>
      <c r="N213" s="4">
        <v>10</v>
      </c>
      <c r="O213" s="1" t="s">
        <v>40</v>
      </c>
      <c r="P213" s="5" t="s">
        <v>22</v>
      </c>
      <c r="Q213" s="2">
        <f>sales[[#This Row],[Profit]]/sales[[#This Row],[Units Sold]]</f>
        <v>58.5</v>
      </c>
    </row>
    <row r="214" spans="1:17" x14ac:dyDescent="0.25">
      <c r="A214" t="s">
        <v>17</v>
      </c>
      <c r="B214" t="s">
        <v>27</v>
      </c>
      <c r="C214" s="1" t="s">
        <v>41</v>
      </c>
      <c r="D214" s="1" t="s">
        <v>46</v>
      </c>
      <c r="E214">
        <v>1694</v>
      </c>
      <c r="F214" s="2">
        <v>260</v>
      </c>
      <c r="G214" s="2">
        <v>20</v>
      </c>
      <c r="H214" s="2">
        <v>33880</v>
      </c>
      <c r="I214" s="2">
        <v>3049.2</v>
      </c>
      <c r="J214" s="2">
        <v>30830.799999999999</v>
      </c>
      <c r="K214" s="2">
        <v>16940</v>
      </c>
      <c r="L214" s="2">
        <v>13890.8</v>
      </c>
      <c r="M214" s="3">
        <v>41944</v>
      </c>
      <c r="N214" s="4">
        <v>11</v>
      </c>
      <c r="O214" s="1" t="s">
        <v>45</v>
      </c>
      <c r="P214" s="5" t="s">
        <v>22</v>
      </c>
      <c r="Q214" s="2">
        <f>sales[[#This Row],[Profit]]/sales[[#This Row],[Units Sold]]</f>
        <v>8.1999999999999993</v>
      </c>
    </row>
    <row r="215" spans="1:17" x14ac:dyDescent="0.25">
      <c r="A215" t="s">
        <v>17</v>
      </c>
      <c r="B215" t="s">
        <v>23</v>
      </c>
      <c r="C215" s="1" t="s">
        <v>19</v>
      </c>
      <c r="D215" s="1" t="s">
        <v>46</v>
      </c>
      <c r="E215">
        <v>663</v>
      </c>
      <c r="F215" s="2">
        <v>3</v>
      </c>
      <c r="G215" s="2">
        <v>20</v>
      </c>
      <c r="H215" s="2">
        <v>13260</v>
      </c>
      <c r="I215" s="2">
        <v>1193.4000000000001</v>
      </c>
      <c r="J215" s="2">
        <v>12066.6</v>
      </c>
      <c r="K215" s="2">
        <v>6630</v>
      </c>
      <c r="L215" s="2">
        <v>5436.6</v>
      </c>
      <c r="M215" s="3">
        <v>41760</v>
      </c>
      <c r="N215" s="4">
        <v>5</v>
      </c>
      <c r="O215" s="1" t="s">
        <v>44</v>
      </c>
      <c r="P215" s="5" t="s">
        <v>22</v>
      </c>
      <c r="Q215" s="2">
        <f>sales[[#This Row],[Profit]]/sales[[#This Row],[Units Sold]]</f>
        <v>8.2000000000000011</v>
      </c>
    </row>
    <row r="216" spans="1:17" x14ac:dyDescent="0.25">
      <c r="A216" t="s">
        <v>17</v>
      </c>
      <c r="B216" t="s">
        <v>18</v>
      </c>
      <c r="C216" s="1" t="s">
        <v>19</v>
      </c>
      <c r="D216" s="1" t="s">
        <v>46</v>
      </c>
      <c r="E216">
        <v>819</v>
      </c>
      <c r="F216" s="2">
        <v>3</v>
      </c>
      <c r="G216" s="2">
        <v>7</v>
      </c>
      <c r="H216" s="2">
        <v>5733</v>
      </c>
      <c r="I216" s="2">
        <v>515.97</v>
      </c>
      <c r="J216" s="2">
        <v>5217.03</v>
      </c>
      <c r="K216" s="2">
        <v>4095</v>
      </c>
      <c r="L216" s="2">
        <v>1122.03</v>
      </c>
      <c r="M216" s="3">
        <v>41821</v>
      </c>
      <c r="N216" s="4">
        <v>7</v>
      </c>
      <c r="O216" s="1" t="s">
        <v>33</v>
      </c>
      <c r="P216" s="5" t="s">
        <v>22</v>
      </c>
      <c r="Q216" s="2">
        <f>sales[[#This Row],[Profit]]/sales[[#This Row],[Units Sold]]</f>
        <v>1.3699999999999999</v>
      </c>
    </row>
    <row r="217" spans="1:17" x14ac:dyDescent="0.25">
      <c r="A217" t="s">
        <v>31</v>
      </c>
      <c r="B217" t="s">
        <v>23</v>
      </c>
      <c r="C217" s="1" t="s">
        <v>19</v>
      </c>
      <c r="D217" s="1" t="s">
        <v>46</v>
      </c>
      <c r="E217">
        <v>1580</v>
      </c>
      <c r="F217" s="2">
        <v>3</v>
      </c>
      <c r="G217" s="2">
        <v>12</v>
      </c>
      <c r="H217" s="2">
        <v>18960</v>
      </c>
      <c r="I217" s="2">
        <v>1706.4</v>
      </c>
      <c r="J217" s="2">
        <v>17253.599999999999</v>
      </c>
      <c r="K217" s="2">
        <v>4740</v>
      </c>
      <c r="L217" s="2">
        <v>12513.599999999999</v>
      </c>
      <c r="M217" s="3">
        <v>41883</v>
      </c>
      <c r="N217" s="4">
        <v>9</v>
      </c>
      <c r="O217" s="1" t="s">
        <v>36</v>
      </c>
      <c r="P217" s="5" t="s">
        <v>22</v>
      </c>
      <c r="Q217" s="2">
        <f>sales[[#This Row],[Profit]]/sales[[#This Row],[Units Sold]]</f>
        <v>7.919999999999999</v>
      </c>
    </row>
    <row r="218" spans="1:17" x14ac:dyDescent="0.25">
      <c r="A218" t="s">
        <v>17</v>
      </c>
      <c r="B218" t="s">
        <v>27</v>
      </c>
      <c r="C218" s="1" t="s">
        <v>19</v>
      </c>
      <c r="D218" s="1" t="s">
        <v>46</v>
      </c>
      <c r="E218">
        <v>521</v>
      </c>
      <c r="F218" s="2">
        <v>3</v>
      </c>
      <c r="G218" s="2">
        <v>7</v>
      </c>
      <c r="H218" s="2">
        <v>3647</v>
      </c>
      <c r="I218" s="2">
        <v>328.23</v>
      </c>
      <c r="J218" s="2">
        <v>3318.77</v>
      </c>
      <c r="K218" s="2">
        <v>2605</v>
      </c>
      <c r="L218" s="2">
        <v>713.77</v>
      </c>
      <c r="M218" s="3">
        <v>41974</v>
      </c>
      <c r="N218" s="4">
        <v>12</v>
      </c>
      <c r="O218" s="1" t="s">
        <v>28</v>
      </c>
      <c r="P218" s="5" t="s">
        <v>22</v>
      </c>
      <c r="Q218" s="2">
        <f>sales[[#This Row],[Profit]]/sales[[#This Row],[Units Sold]]</f>
        <v>1.3699999999999999</v>
      </c>
    </row>
    <row r="219" spans="1:17" x14ac:dyDescent="0.25">
      <c r="A219" t="s">
        <v>17</v>
      </c>
      <c r="B219" t="s">
        <v>37</v>
      </c>
      <c r="C219" s="1" t="s">
        <v>38</v>
      </c>
      <c r="D219" s="1" t="s">
        <v>46</v>
      </c>
      <c r="E219">
        <v>973</v>
      </c>
      <c r="F219" s="2">
        <v>10</v>
      </c>
      <c r="G219" s="2">
        <v>20</v>
      </c>
      <c r="H219" s="2">
        <v>19460</v>
      </c>
      <c r="I219" s="2">
        <v>1751.4</v>
      </c>
      <c r="J219" s="2">
        <v>17708.599999999999</v>
      </c>
      <c r="K219" s="2">
        <v>9730</v>
      </c>
      <c r="L219" s="2">
        <v>7978.5999999999985</v>
      </c>
      <c r="M219" s="3">
        <v>41699</v>
      </c>
      <c r="N219" s="4">
        <v>3</v>
      </c>
      <c r="O219" s="1" t="s">
        <v>30</v>
      </c>
      <c r="P219" s="5" t="s">
        <v>22</v>
      </c>
      <c r="Q219" s="2">
        <f>sales[[#This Row],[Profit]]/sales[[#This Row],[Units Sold]]</f>
        <v>8.1999999999999993</v>
      </c>
    </row>
    <row r="220" spans="1:17" x14ac:dyDescent="0.25">
      <c r="A220" t="s">
        <v>17</v>
      </c>
      <c r="B220" t="s">
        <v>27</v>
      </c>
      <c r="C220" s="1" t="s">
        <v>38</v>
      </c>
      <c r="D220" s="1" t="s">
        <v>46</v>
      </c>
      <c r="E220">
        <v>1038</v>
      </c>
      <c r="F220" s="2">
        <v>10</v>
      </c>
      <c r="G220" s="2">
        <v>20</v>
      </c>
      <c r="H220" s="2">
        <v>20760</v>
      </c>
      <c r="I220" s="2">
        <v>1868.4</v>
      </c>
      <c r="J220" s="2">
        <v>18891.599999999999</v>
      </c>
      <c r="K220" s="2">
        <v>10380</v>
      </c>
      <c r="L220" s="2">
        <v>8511.5999999999985</v>
      </c>
      <c r="M220" s="3">
        <v>41791</v>
      </c>
      <c r="N220" s="4">
        <v>6</v>
      </c>
      <c r="O220" s="1" t="s">
        <v>26</v>
      </c>
      <c r="P220" s="5" t="s">
        <v>22</v>
      </c>
      <c r="Q220" s="2">
        <f>sales[[#This Row],[Profit]]/sales[[#This Row],[Units Sold]]</f>
        <v>8.1999999999999993</v>
      </c>
    </row>
    <row r="221" spans="1:17" x14ac:dyDescent="0.25">
      <c r="A221" t="s">
        <v>17</v>
      </c>
      <c r="B221" t="s">
        <v>23</v>
      </c>
      <c r="C221" s="1" t="s">
        <v>38</v>
      </c>
      <c r="D221" s="1" t="s">
        <v>46</v>
      </c>
      <c r="E221">
        <v>360</v>
      </c>
      <c r="F221" s="2">
        <v>10</v>
      </c>
      <c r="G221" s="2">
        <v>7</v>
      </c>
      <c r="H221" s="2">
        <v>2520</v>
      </c>
      <c r="I221" s="2">
        <v>226.8</v>
      </c>
      <c r="J221" s="2">
        <v>2293.1999999999998</v>
      </c>
      <c r="K221" s="2">
        <v>1800</v>
      </c>
      <c r="L221" s="2">
        <v>493.19999999999982</v>
      </c>
      <c r="M221" s="3">
        <v>41913</v>
      </c>
      <c r="N221" s="4">
        <v>10</v>
      </c>
      <c r="O221" s="1" t="s">
        <v>40</v>
      </c>
      <c r="P221" s="5" t="s">
        <v>22</v>
      </c>
      <c r="Q221" s="2">
        <f>sales[[#This Row],[Profit]]/sales[[#This Row],[Units Sold]]</f>
        <v>1.3699999999999994</v>
      </c>
    </row>
    <row r="222" spans="1:17" x14ac:dyDescent="0.25">
      <c r="A222" t="s">
        <v>17</v>
      </c>
      <c r="B222" t="s">
        <v>27</v>
      </c>
      <c r="C222" s="1" t="s">
        <v>41</v>
      </c>
      <c r="D222" s="1" t="s">
        <v>46</v>
      </c>
      <c r="E222">
        <v>1038</v>
      </c>
      <c r="F222" s="2">
        <v>260</v>
      </c>
      <c r="G222" s="2">
        <v>20</v>
      </c>
      <c r="H222" s="2">
        <v>20760</v>
      </c>
      <c r="I222" s="2">
        <v>1868.4</v>
      </c>
      <c r="J222" s="2">
        <v>18891.599999999999</v>
      </c>
      <c r="K222" s="2">
        <v>10380</v>
      </c>
      <c r="L222" s="2">
        <v>8511.5999999999985</v>
      </c>
      <c r="M222" s="3">
        <v>41791</v>
      </c>
      <c r="N222" s="4">
        <v>6</v>
      </c>
      <c r="O222" s="1" t="s">
        <v>26</v>
      </c>
      <c r="P222" s="5" t="s">
        <v>22</v>
      </c>
      <c r="Q222" s="2">
        <f>sales[[#This Row],[Profit]]/sales[[#This Row],[Units Sold]]</f>
        <v>8.1999999999999993</v>
      </c>
    </row>
    <row r="223" spans="1:17" x14ac:dyDescent="0.25">
      <c r="A223" t="s">
        <v>24</v>
      </c>
      <c r="B223" t="s">
        <v>18</v>
      </c>
      <c r="C223" s="1" t="s">
        <v>41</v>
      </c>
      <c r="D223" s="1" t="s">
        <v>46</v>
      </c>
      <c r="E223">
        <v>1630.5</v>
      </c>
      <c r="F223" s="2">
        <v>260</v>
      </c>
      <c r="G223" s="2">
        <v>15</v>
      </c>
      <c r="H223" s="2">
        <v>24457.5</v>
      </c>
      <c r="I223" s="2">
        <v>2201.1750000000002</v>
      </c>
      <c r="J223" s="2">
        <v>22256.324999999997</v>
      </c>
      <c r="K223" s="2">
        <v>16305</v>
      </c>
      <c r="L223" s="2">
        <v>5951.3249999999989</v>
      </c>
      <c r="M223" s="3">
        <v>41821</v>
      </c>
      <c r="N223" s="4">
        <v>7</v>
      </c>
      <c r="O223" s="1" t="s">
        <v>33</v>
      </c>
      <c r="P223" s="5" t="s">
        <v>22</v>
      </c>
      <c r="Q223" s="2">
        <f>sales[[#This Row],[Profit]]/sales[[#This Row],[Units Sold]]</f>
        <v>3.6499999999999995</v>
      </c>
    </row>
    <row r="224" spans="1:17" x14ac:dyDescent="0.25">
      <c r="A224" t="s">
        <v>17</v>
      </c>
      <c r="B224" t="s">
        <v>37</v>
      </c>
      <c r="C224" s="1" t="s">
        <v>29</v>
      </c>
      <c r="D224" s="1" t="s">
        <v>47</v>
      </c>
      <c r="E224">
        <v>2328</v>
      </c>
      <c r="F224" s="2">
        <v>5</v>
      </c>
      <c r="G224" s="2">
        <v>7</v>
      </c>
      <c r="H224" s="2">
        <v>16296</v>
      </c>
      <c r="I224" s="2">
        <v>1629.6</v>
      </c>
      <c r="J224" s="2">
        <v>14666.4</v>
      </c>
      <c r="K224" s="2">
        <v>11640</v>
      </c>
      <c r="L224" s="2">
        <v>3026.3999999999996</v>
      </c>
      <c r="M224" s="3">
        <v>41883</v>
      </c>
      <c r="N224" s="4">
        <v>9</v>
      </c>
      <c r="O224" s="1" t="s">
        <v>36</v>
      </c>
      <c r="P224" s="5" t="s">
        <v>22</v>
      </c>
      <c r="Q224" s="2">
        <f>sales[[#This Row],[Profit]]/sales[[#This Row],[Units Sold]]</f>
        <v>1.2999999999999998</v>
      </c>
    </row>
    <row r="225" spans="1:17" x14ac:dyDescent="0.25">
      <c r="A225" t="s">
        <v>17</v>
      </c>
      <c r="B225" t="s">
        <v>37</v>
      </c>
      <c r="C225" s="1" t="s">
        <v>29</v>
      </c>
      <c r="D225" s="1" t="s">
        <v>47</v>
      </c>
      <c r="E225">
        <v>2313</v>
      </c>
      <c r="F225" s="2">
        <v>5</v>
      </c>
      <c r="G225" s="2">
        <v>350</v>
      </c>
      <c r="H225" s="2">
        <v>809550</v>
      </c>
      <c r="I225" s="2">
        <v>80955</v>
      </c>
      <c r="J225" s="2">
        <v>728595</v>
      </c>
      <c r="K225" s="2">
        <v>601380</v>
      </c>
      <c r="L225" s="2">
        <v>127215</v>
      </c>
      <c r="M225" s="3">
        <v>41760</v>
      </c>
      <c r="N225" s="4">
        <v>5</v>
      </c>
      <c r="O225" s="1" t="s">
        <v>44</v>
      </c>
      <c r="P225" s="5" t="s">
        <v>22</v>
      </c>
      <c r="Q225" s="2">
        <f>sales[[#This Row],[Profit]]/sales[[#This Row],[Units Sold]]</f>
        <v>55</v>
      </c>
    </row>
    <row r="226" spans="1:17" x14ac:dyDescent="0.25">
      <c r="A226" t="s">
        <v>24</v>
      </c>
      <c r="B226" t="s">
        <v>25</v>
      </c>
      <c r="C226" s="1" t="s">
        <v>29</v>
      </c>
      <c r="D226" s="1" t="s">
        <v>47</v>
      </c>
      <c r="E226">
        <v>2072</v>
      </c>
      <c r="F226" s="2">
        <v>5</v>
      </c>
      <c r="G226" s="2">
        <v>15</v>
      </c>
      <c r="H226" s="2">
        <v>31080</v>
      </c>
      <c r="I226" s="2">
        <v>3108</v>
      </c>
      <c r="J226" s="2">
        <v>27972</v>
      </c>
      <c r="K226" s="2">
        <v>20720</v>
      </c>
      <c r="L226" s="2">
        <v>7252</v>
      </c>
      <c r="M226" s="3">
        <v>41974</v>
      </c>
      <c r="N226" s="4">
        <v>12</v>
      </c>
      <c r="O226" s="1" t="s">
        <v>28</v>
      </c>
      <c r="P226" s="5" t="s">
        <v>22</v>
      </c>
      <c r="Q226" s="2">
        <f>sales[[#This Row],[Profit]]/sales[[#This Row],[Units Sold]]</f>
        <v>3.5</v>
      </c>
    </row>
    <row r="227" spans="1:17" x14ac:dyDescent="0.25">
      <c r="A227" t="s">
        <v>17</v>
      </c>
      <c r="B227" t="s">
        <v>25</v>
      </c>
      <c r="C227" s="1" t="s">
        <v>38</v>
      </c>
      <c r="D227" s="1" t="s">
        <v>47</v>
      </c>
      <c r="E227">
        <v>1954</v>
      </c>
      <c r="F227" s="2">
        <v>10</v>
      </c>
      <c r="G227" s="2">
        <v>20</v>
      </c>
      <c r="H227" s="2">
        <v>39080</v>
      </c>
      <c r="I227" s="2">
        <v>3908</v>
      </c>
      <c r="J227" s="2">
        <v>35172</v>
      </c>
      <c r="K227" s="2">
        <v>19540</v>
      </c>
      <c r="L227" s="2">
        <v>15632</v>
      </c>
      <c r="M227" s="3">
        <v>41699</v>
      </c>
      <c r="N227" s="4">
        <v>3</v>
      </c>
      <c r="O227" s="1" t="s">
        <v>30</v>
      </c>
      <c r="P227" s="5" t="s">
        <v>22</v>
      </c>
      <c r="Q227" s="2">
        <f>sales[[#This Row],[Profit]]/sales[[#This Row],[Units Sold]]</f>
        <v>8</v>
      </c>
    </row>
    <row r="228" spans="1:17" x14ac:dyDescent="0.25">
      <c r="A228" t="s">
        <v>34</v>
      </c>
      <c r="B228" t="s">
        <v>27</v>
      </c>
      <c r="C228" s="1" t="s">
        <v>38</v>
      </c>
      <c r="D228" s="1" t="s">
        <v>47</v>
      </c>
      <c r="E228">
        <v>591</v>
      </c>
      <c r="F228" s="2">
        <v>10</v>
      </c>
      <c r="G228" s="2">
        <v>300</v>
      </c>
      <c r="H228" s="2">
        <v>177300</v>
      </c>
      <c r="I228" s="2">
        <v>17730</v>
      </c>
      <c r="J228" s="2">
        <v>159570</v>
      </c>
      <c r="K228" s="2">
        <v>147750</v>
      </c>
      <c r="L228" s="2">
        <v>11820</v>
      </c>
      <c r="M228" s="3">
        <v>41760</v>
      </c>
      <c r="N228" s="4">
        <v>5</v>
      </c>
      <c r="O228" s="1" t="s">
        <v>44</v>
      </c>
      <c r="P228" s="5" t="s">
        <v>22</v>
      </c>
      <c r="Q228" s="2">
        <f>sales[[#This Row],[Profit]]/sales[[#This Row],[Units Sold]]</f>
        <v>20</v>
      </c>
    </row>
    <row r="229" spans="1:17" x14ac:dyDescent="0.25">
      <c r="A229" t="s">
        <v>17</v>
      </c>
      <c r="B229" t="s">
        <v>23</v>
      </c>
      <c r="C229" s="1" t="s">
        <v>38</v>
      </c>
      <c r="D229" s="1" t="s">
        <v>47</v>
      </c>
      <c r="E229">
        <v>241</v>
      </c>
      <c r="F229" s="2">
        <v>10</v>
      </c>
      <c r="G229" s="2">
        <v>20</v>
      </c>
      <c r="H229" s="2">
        <v>4820</v>
      </c>
      <c r="I229" s="2">
        <v>482</v>
      </c>
      <c r="J229" s="2">
        <v>4338</v>
      </c>
      <c r="K229" s="2">
        <v>2410</v>
      </c>
      <c r="L229" s="2">
        <v>1928</v>
      </c>
      <c r="M229" s="3">
        <v>41913</v>
      </c>
      <c r="N229" s="4">
        <v>10</v>
      </c>
      <c r="O229" s="1" t="s">
        <v>40</v>
      </c>
      <c r="P229" s="5" t="s">
        <v>22</v>
      </c>
      <c r="Q229" s="2">
        <f>sales[[#This Row],[Profit]]/sales[[#This Row],[Units Sold]]</f>
        <v>8</v>
      </c>
    </row>
    <row r="230" spans="1:17" x14ac:dyDescent="0.25">
      <c r="A230" t="s">
        <v>17</v>
      </c>
      <c r="B230" t="s">
        <v>18</v>
      </c>
      <c r="C230" s="1" t="s">
        <v>41</v>
      </c>
      <c r="D230" s="1" t="s">
        <v>47</v>
      </c>
      <c r="E230">
        <v>2240</v>
      </c>
      <c r="F230" s="2">
        <v>260</v>
      </c>
      <c r="G230" s="2">
        <v>350</v>
      </c>
      <c r="H230" s="2">
        <v>784000</v>
      </c>
      <c r="I230" s="2">
        <v>78400</v>
      </c>
      <c r="J230" s="2">
        <v>705600</v>
      </c>
      <c r="K230" s="2">
        <v>582400</v>
      </c>
      <c r="L230" s="2">
        <v>123200</v>
      </c>
      <c r="M230" s="3">
        <v>41671</v>
      </c>
      <c r="N230" s="4">
        <v>2</v>
      </c>
      <c r="O230" s="1" t="s">
        <v>39</v>
      </c>
      <c r="P230" s="5" t="s">
        <v>22</v>
      </c>
      <c r="Q230" s="2">
        <f>sales[[#This Row],[Profit]]/sales[[#This Row],[Units Sold]]</f>
        <v>55</v>
      </c>
    </row>
    <row r="231" spans="1:17" x14ac:dyDescent="0.25">
      <c r="A231" t="s">
        <v>34</v>
      </c>
      <c r="B231" t="s">
        <v>37</v>
      </c>
      <c r="C231" s="1" t="s">
        <v>41</v>
      </c>
      <c r="D231" s="1" t="s">
        <v>47</v>
      </c>
      <c r="E231">
        <v>2993</v>
      </c>
      <c r="F231" s="2">
        <v>260</v>
      </c>
      <c r="G231" s="2">
        <v>300</v>
      </c>
      <c r="H231" s="2">
        <v>897900</v>
      </c>
      <c r="I231" s="2">
        <v>89790</v>
      </c>
      <c r="J231" s="2">
        <v>808110</v>
      </c>
      <c r="K231" s="2">
        <v>748250</v>
      </c>
      <c r="L231" s="2">
        <v>59860</v>
      </c>
      <c r="M231" s="3">
        <v>41699</v>
      </c>
      <c r="N231" s="4">
        <v>3</v>
      </c>
      <c r="O231" s="1" t="s">
        <v>30</v>
      </c>
      <c r="P231" s="5" t="s">
        <v>22</v>
      </c>
      <c r="Q231" s="2">
        <f>sales[[#This Row],[Profit]]/sales[[#This Row],[Units Sold]]</f>
        <v>20</v>
      </c>
    </row>
    <row r="232" spans="1:17" x14ac:dyDescent="0.25">
      <c r="A232" t="s">
        <v>31</v>
      </c>
      <c r="B232" t="s">
        <v>18</v>
      </c>
      <c r="C232" s="1" t="s">
        <v>41</v>
      </c>
      <c r="D232" s="1" t="s">
        <v>47</v>
      </c>
      <c r="E232">
        <v>3520.5</v>
      </c>
      <c r="F232" s="2">
        <v>260</v>
      </c>
      <c r="G232" s="2">
        <v>12</v>
      </c>
      <c r="H232" s="2">
        <v>42246</v>
      </c>
      <c r="I232" s="2">
        <v>4224.6000000000004</v>
      </c>
      <c r="J232" s="2">
        <v>38021.399999999994</v>
      </c>
      <c r="K232" s="2">
        <v>10561.5</v>
      </c>
      <c r="L232" s="2">
        <v>27459.899999999998</v>
      </c>
      <c r="M232" s="3">
        <v>41730</v>
      </c>
      <c r="N232" s="4">
        <v>4</v>
      </c>
      <c r="O232" s="1" t="s">
        <v>42</v>
      </c>
      <c r="P232" s="5" t="s">
        <v>22</v>
      </c>
      <c r="Q232" s="2">
        <f>sales[[#This Row],[Profit]]/sales[[#This Row],[Units Sold]]</f>
        <v>7.8</v>
      </c>
    </row>
    <row r="233" spans="1:17" x14ac:dyDescent="0.25">
      <c r="A233" t="s">
        <v>17</v>
      </c>
      <c r="B233" t="s">
        <v>27</v>
      </c>
      <c r="C233" s="1" t="s">
        <v>41</v>
      </c>
      <c r="D233" s="1" t="s">
        <v>47</v>
      </c>
      <c r="E233">
        <v>2039</v>
      </c>
      <c r="F233" s="2">
        <v>260</v>
      </c>
      <c r="G233" s="2">
        <v>20</v>
      </c>
      <c r="H233" s="2">
        <v>40780</v>
      </c>
      <c r="I233" s="2">
        <v>4078</v>
      </c>
      <c r="J233" s="2">
        <v>36702</v>
      </c>
      <c r="K233" s="2">
        <v>20390</v>
      </c>
      <c r="L233" s="2">
        <v>16312</v>
      </c>
      <c r="M233" s="3">
        <v>41760</v>
      </c>
      <c r="N233" s="4">
        <v>5</v>
      </c>
      <c r="O233" s="1" t="s">
        <v>44</v>
      </c>
      <c r="P233" s="5" t="s">
        <v>22</v>
      </c>
      <c r="Q233" s="2">
        <f>sales[[#This Row],[Profit]]/sales[[#This Row],[Units Sold]]</f>
        <v>8</v>
      </c>
    </row>
    <row r="234" spans="1:17" x14ac:dyDescent="0.25">
      <c r="A234" t="s">
        <v>31</v>
      </c>
      <c r="B234" t="s">
        <v>23</v>
      </c>
      <c r="C234" s="1" t="s">
        <v>41</v>
      </c>
      <c r="D234" s="1" t="s">
        <v>47</v>
      </c>
      <c r="E234">
        <v>2574</v>
      </c>
      <c r="F234" s="2">
        <v>260</v>
      </c>
      <c r="G234" s="2">
        <v>12</v>
      </c>
      <c r="H234" s="2">
        <v>30888</v>
      </c>
      <c r="I234" s="2">
        <v>3088.8</v>
      </c>
      <c r="J234" s="2">
        <v>27799.200000000001</v>
      </c>
      <c r="K234" s="2">
        <v>7722</v>
      </c>
      <c r="L234" s="2">
        <v>20077.2</v>
      </c>
      <c r="M234" s="3">
        <v>41852</v>
      </c>
      <c r="N234" s="4">
        <v>8</v>
      </c>
      <c r="O234" s="1" t="s">
        <v>35</v>
      </c>
      <c r="P234" s="5" t="s">
        <v>22</v>
      </c>
      <c r="Q234" s="2">
        <f>sales[[#This Row],[Profit]]/sales[[#This Row],[Units Sold]]</f>
        <v>7.8000000000000007</v>
      </c>
    </row>
    <row r="235" spans="1:17" x14ac:dyDescent="0.25">
      <c r="A235" t="s">
        <v>17</v>
      </c>
      <c r="B235" t="s">
        <v>18</v>
      </c>
      <c r="C235" s="1" t="s">
        <v>41</v>
      </c>
      <c r="D235" s="1" t="s">
        <v>47</v>
      </c>
      <c r="E235">
        <v>707</v>
      </c>
      <c r="F235" s="2">
        <v>260</v>
      </c>
      <c r="G235" s="2">
        <v>350</v>
      </c>
      <c r="H235" s="2">
        <v>247450</v>
      </c>
      <c r="I235" s="2">
        <v>24745</v>
      </c>
      <c r="J235" s="2">
        <v>222705</v>
      </c>
      <c r="K235" s="2">
        <v>183820</v>
      </c>
      <c r="L235" s="2">
        <v>38885</v>
      </c>
      <c r="M235" s="3">
        <v>41883</v>
      </c>
      <c r="N235" s="4">
        <v>9</v>
      </c>
      <c r="O235" s="1" t="s">
        <v>36</v>
      </c>
      <c r="P235" s="5" t="s">
        <v>22</v>
      </c>
      <c r="Q235" s="2">
        <f>sales[[#This Row],[Profit]]/sales[[#This Row],[Units Sold]]</f>
        <v>55</v>
      </c>
    </row>
    <row r="236" spans="1:17" x14ac:dyDescent="0.25">
      <c r="A236" t="s">
        <v>24</v>
      </c>
      <c r="B236" t="s">
        <v>25</v>
      </c>
      <c r="C236" s="1" t="s">
        <v>41</v>
      </c>
      <c r="D236" s="1" t="s">
        <v>47</v>
      </c>
      <c r="E236">
        <v>2072</v>
      </c>
      <c r="F236" s="2">
        <v>260</v>
      </c>
      <c r="G236" s="2">
        <v>15</v>
      </c>
      <c r="H236" s="2">
        <v>31080</v>
      </c>
      <c r="I236" s="2">
        <v>3108</v>
      </c>
      <c r="J236" s="2">
        <v>27972</v>
      </c>
      <c r="K236" s="2">
        <v>20720</v>
      </c>
      <c r="L236" s="2">
        <v>7252</v>
      </c>
      <c r="M236" s="3">
        <v>41974</v>
      </c>
      <c r="N236" s="4">
        <v>12</v>
      </c>
      <c r="O236" s="1" t="s">
        <v>28</v>
      </c>
      <c r="P236" s="5" t="s">
        <v>22</v>
      </c>
      <c r="Q236" s="2">
        <f>sales[[#This Row],[Profit]]/sales[[#This Row],[Units Sold]]</f>
        <v>3.5</v>
      </c>
    </row>
    <row r="237" spans="1:17" x14ac:dyDescent="0.25">
      <c r="A237" t="s">
        <v>34</v>
      </c>
      <c r="B237" t="s">
        <v>25</v>
      </c>
      <c r="C237" s="1" t="s">
        <v>41</v>
      </c>
      <c r="D237" s="1" t="s">
        <v>47</v>
      </c>
      <c r="E237">
        <v>853</v>
      </c>
      <c r="F237" s="2">
        <v>260</v>
      </c>
      <c r="G237" s="2">
        <v>300</v>
      </c>
      <c r="H237" s="2">
        <v>255900</v>
      </c>
      <c r="I237" s="2">
        <v>25590</v>
      </c>
      <c r="J237" s="2">
        <v>230310</v>
      </c>
      <c r="K237" s="2">
        <v>213250</v>
      </c>
      <c r="L237" s="2">
        <v>17060</v>
      </c>
      <c r="M237" s="3">
        <v>41974</v>
      </c>
      <c r="N237" s="4">
        <v>12</v>
      </c>
      <c r="O237" s="1" t="s">
        <v>28</v>
      </c>
      <c r="P237" s="5" t="s">
        <v>22</v>
      </c>
      <c r="Q237" s="2">
        <f>sales[[#This Row],[Profit]]/sales[[#This Row],[Units Sold]]</f>
        <v>20</v>
      </c>
    </row>
    <row r="238" spans="1:17" x14ac:dyDescent="0.25">
      <c r="A238" t="s">
        <v>17</v>
      </c>
      <c r="B238" t="s">
        <v>25</v>
      </c>
      <c r="C238" s="1" t="s">
        <v>38</v>
      </c>
      <c r="D238" s="1" t="s">
        <v>47</v>
      </c>
      <c r="E238">
        <v>2532</v>
      </c>
      <c r="F238" s="2">
        <v>10</v>
      </c>
      <c r="G238" s="2">
        <v>7</v>
      </c>
      <c r="H238" s="2">
        <v>17724</v>
      </c>
      <c r="I238" s="2">
        <v>1949.6399999999999</v>
      </c>
      <c r="J238" s="2">
        <v>15774.36</v>
      </c>
      <c r="K238" s="2">
        <v>12660</v>
      </c>
      <c r="L238" s="2">
        <v>3114.3599999999997</v>
      </c>
      <c r="M238" s="3">
        <v>41730</v>
      </c>
      <c r="N238" s="4">
        <v>4</v>
      </c>
      <c r="O238" s="1" t="s">
        <v>42</v>
      </c>
      <c r="P238" s="5" t="s">
        <v>22</v>
      </c>
      <c r="Q238" s="2">
        <f>sales[[#This Row],[Profit]]/sales[[#This Row],[Units Sold]]</f>
        <v>1.2299999999999998</v>
      </c>
    </row>
    <row r="239" spans="1:17" x14ac:dyDescent="0.25">
      <c r="A239" t="s">
        <v>24</v>
      </c>
      <c r="B239" t="s">
        <v>37</v>
      </c>
      <c r="C239" s="1" t="s">
        <v>41</v>
      </c>
      <c r="D239" s="1" t="s">
        <v>47</v>
      </c>
      <c r="E239">
        <v>3199.5</v>
      </c>
      <c r="F239" s="2">
        <v>260</v>
      </c>
      <c r="G239" s="2">
        <v>15</v>
      </c>
      <c r="H239" s="2">
        <v>47992.5</v>
      </c>
      <c r="I239" s="2">
        <v>5279.1749999999993</v>
      </c>
      <c r="J239" s="2">
        <v>42713.324999999997</v>
      </c>
      <c r="K239" s="2">
        <v>31995</v>
      </c>
      <c r="L239" s="2">
        <v>10718.324999999999</v>
      </c>
      <c r="M239" s="3">
        <v>41821</v>
      </c>
      <c r="N239" s="4">
        <v>7</v>
      </c>
      <c r="O239" s="1" t="s">
        <v>33</v>
      </c>
      <c r="P239" s="5" t="s">
        <v>22</v>
      </c>
      <c r="Q239" s="2">
        <f>sales[[#This Row],[Profit]]/sales[[#This Row],[Units Sold]]</f>
        <v>3.3499999999999996</v>
      </c>
    </row>
    <row r="240" spans="1:17" x14ac:dyDescent="0.25">
      <c r="A240" t="s">
        <v>31</v>
      </c>
      <c r="B240" t="s">
        <v>23</v>
      </c>
      <c r="C240" s="1" t="s">
        <v>41</v>
      </c>
      <c r="D240" s="1" t="s">
        <v>47</v>
      </c>
      <c r="E240">
        <v>472</v>
      </c>
      <c r="F240" s="2">
        <v>260</v>
      </c>
      <c r="G240" s="2">
        <v>12</v>
      </c>
      <c r="H240" s="2">
        <v>5664</v>
      </c>
      <c r="I240" s="2">
        <v>623.04</v>
      </c>
      <c r="J240" s="2">
        <v>5040.96</v>
      </c>
      <c r="K240" s="2">
        <v>1416</v>
      </c>
      <c r="L240" s="2">
        <v>3624.96</v>
      </c>
      <c r="M240" s="3">
        <v>41913</v>
      </c>
      <c r="N240" s="4">
        <v>10</v>
      </c>
      <c r="O240" s="1" t="s">
        <v>40</v>
      </c>
      <c r="P240" s="5" t="s">
        <v>22</v>
      </c>
      <c r="Q240" s="2">
        <f>sales[[#This Row],[Profit]]/sales[[#This Row],[Units Sold]]</f>
        <v>7.68</v>
      </c>
    </row>
    <row r="241" spans="1:17" x14ac:dyDescent="0.25">
      <c r="A241" t="s">
        <v>31</v>
      </c>
      <c r="B241" t="s">
        <v>18</v>
      </c>
      <c r="C241" s="1" t="s">
        <v>19</v>
      </c>
      <c r="D241" s="1" t="s">
        <v>47</v>
      </c>
      <c r="E241">
        <v>1937</v>
      </c>
      <c r="F241" s="2">
        <v>3</v>
      </c>
      <c r="G241" s="2">
        <v>12</v>
      </c>
      <c r="H241" s="2">
        <v>23244</v>
      </c>
      <c r="I241" s="2">
        <v>2556.84</v>
      </c>
      <c r="J241" s="2">
        <v>20687.16</v>
      </c>
      <c r="K241" s="2">
        <v>5811</v>
      </c>
      <c r="L241" s="2">
        <v>14876.16</v>
      </c>
      <c r="M241" s="3">
        <v>41671</v>
      </c>
      <c r="N241" s="4">
        <v>2</v>
      </c>
      <c r="O241" s="1" t="s">
        <v>39</v>
      </c>
      <c r="P241" s="5" t="s">
        <v>22</v>
      </c>
      <c r="Q241" s="2">
        <f>sales[[#This Row],[Profit]]/sales[[#This Row],[Units Sold]]</f>
        <v>7.68</v>
      </c>
    </row>
    <row r="242" spans="1:17" x14ac:dyDescent="0.25">
      <c r="A242" t="s">
        <v>17</v>
      </c>
      <c r="B242" t="s">
        <v>23</v>
      </c>
      <c r="C242" s="1" t="s">
        <v>19</v>
      </c>
      <c r="D242" s="1" t="s">
        <v>47</v>
      </c>
      <c r="E242">
        <v>792</v>
      </c>
      <c r="F242" s="2">
        <v>3</v>
      </c>
      <c r="G242" s="2">
        <v>350</v>
      </c>
      <c r="H242" s="2">
        <v>277200</v>
      </c>
      <c r="I242" s="2">
        <v>30492</v>
      </c>
      <c r="J242" s="2">
        <v>246708</v>
      </c>
      <c r="K242" s="2">
        <v>205920</v>
      </c>
      <c r="L242" s="2">
        <v>40788</v>
      </c>
      <c r="M242" s="3">
        <v>41699</v>
      </c>
      <c r="N242" s="4">
        <v>3</v>
      </c>
      <c r="O242" s="1" t="s">
        <v>30</v>
      </c>
      <c r="P242" s="5" t="s">
        <v>22</v>
      </c>
      <c r="Q242" s="2">
        <f>sales[[#This Row],[Profit]]/sales[[#This Row],[Units Sold]]</f>
        <v>51.5</v>
      </c>
    </row>
    <row r="243" spans="1:17" x14ac:dyDescent="0.25">
      <c r="A243" t="s">
        <v>34</v>
      </c>
      <c r="B243" t="s">
        <v>23</v>
      </c>
      <c r="C243" s="1" t="s">
        <v>19</v>
      </c>
      <c r="D243" s="1" t="s">
        <v>47</v>
      </c>
      <c r="E243">
        <v>2811</v>
      </c>
      <c r="F243" s="2">
        <v>3</v>
      </c>
      <c r="G243" s="2">
        <v>300</v>
      </c>
      <c r="H243" s="2">
        <v>843300</v>
      </c>
      <c r="I243" s="2">
        <v>92763</v>
      </c>
      <c r="J243" s="2">
        <v>750537</v>
      </c>
      <c r="K243" s="2">
        <v>702750</v>
      </c>
      <c r="L243" s="2">
        <v>47787</v>
      </c>
      <c r="M243" s="3">
        <v>41821</v>
      </c>
      <c r="N243" s="4">
        <v>7</v>
      </c>
      <c r="O243" s="1" t="s">
        <v>33</v>
      </c>
      <c r="P243" s="5" t="s">
        <v>22</v>
      </c>
      <c r="Q243" s="2">
        <f>sales[[#This Row],[Profit]]/sales[[#This Row],[Units Sold]]</f>
        <v>17</v>
      </c>
    </row>
    <row r="244" spans="1:17" x14ac:dyDescent="0.25">
      <c r="A244" t="s">
        <v>17</v>
      </c>
      <c r="B244" t="s">
        <v>23</v>
      </c>
      <c r="C244" s="1" t="s">
        <v>29</v>
      </c>
      <c r="D244" s="1" t="s">
        <v>47</v>
      </c>
      <c r="E244">
        <v>766</v>
      </c>
      <c r="F244" s="2">
        <v>5</v>
      </c>
      <c r="G244" s="2">
        <v>350</v>
      </c>
      <c r="H244" s="2">
        <v>268100</v>
      </c>
      <c r="I244" s="2">
        <v>29491</v>
      </c>
      <c r="J244" s="2">
        <v>238609</v>
      </c>
      <c r="K244" s="2">
        <v>199160</v>
      </c>
      <c r="L244" s="2">
        <v>39449</v>
      </c>
      <c r="M244" s="3">
        <v>41640</v>
      </c>
      <c r="N244" s="4">
        <v>1</v>
      </c>
      <c r="O244" s="1" t="s">
        <v>21</v>
      </c>
      <c r="P244" s="5" t="s">
        <v>22</v>
      </c>
      <c r="Q244" s="2">
        <f>sales[[#This Row],[Profit]]/sales[[#This Row],[Units Sold]]</f>
        <v>51.5</v>
      </c>
    </row>
    <row r="245" spans="1:17" x14ac:dyDescent="0.25">
      <c r="A245" t="s">
        <v>24</v>
      </c>
      <c r="B245" t="s">
        <v>27</v>
      </c>
      <c r="C245" s="1" t="s">
        <v>29</v>
      </c>
      <c r="D245" s="1" t="s">
        <v>47</v>
      </c>
      <c r="E245">
        <v>2157</v>
      </c>
      <c r="F245" s="2">
        <v>5</v>
      </c>
      <c r="G245" s="2">
        <v>15</v>
      </c>
      <c r="H245" s="2">
        <v>32355</v>
      </c>
      <c r="I245" s="2">
        <v>3559.05</v>
      </c>
      <c r="J245" s="2">
        <v>28795.95</v>
      </c>
      <c r="K245" s="2">
        <v>21570</v>
      </c>
      <c r="L245" s="2">
        <v>7225.9500000000007</v>
      </c>
      <c r="M245" s="3">
        <v>41974</v>
      </c>
      <c r="N245" s="4">
        <v>12</v>
      </c>
      <c r="O245" s="1" t="s">
        <v>28</v>
      </c>
      <c r="P245" s="5" t="s">
        <v>22</v>
      </c>
      <c r="Q245" s="2">
        <f>sales[[#This Row],[Profit]]/sales[[#This Row],[Units Sold]]</f>
        <v>3.3500000000000005</v>
      </c>
    </row>
    <row r="246" spans="1:17" x14ac:dyDescent="0.25">
      <c r="A246" t="s">
        <v>34</v>
      </c>
      <c r="B246" t="s">
        <v>18</v>
      </c>
      <c r="C246" s="1" t="s">
        <v>38</v>
      </c>
      <c r="D246" s="1" t="s">
        <v>47</v>
      </c>
      <c r="E246">
        <v>873</v>
      </c>
      <c r="F246" s="2">
        <v>10</v>
      </c>
      <c r="G246" s="2">
        <v>300</v>
      </c>
      <c r="H246" s="2">
        <v>261900</v>
      </c>
      <c r="I246" s="2">
        <v>28809</v>
      </c>
      <c r="J246" s="2">
        <v>233091</v>
      </c>
      <c r="K246" s="2">
        <v>218250</v>
      </c>
      <c r="L246" s="2">
        <v>14841</v>
      </c>
      <c r="M246" s="3">
        <v>41640</v>
      </c>
      <c r="N246" s="4">
        <v>1</v>
      </c>
      <c r="O246" s="1" t="s">
        <v>21</v>
      </c>
      <c r="P246" s="5" t="s">
        <v>22</v>
      </c>
      <c r="Q246" s="2">
        <f>sales[[#This Row],[Profit]]/sales[[#This Row],[Units Sold]]</f>
        <v>17</v>
      </c>
    </row>
    <row r="247" spans="1:17" x14ac:dyDescent="0.25">
      <c r="A247" t="s">
        <v>17</v>
      </c>
      <c r="B247" t="s">
        <v>27</v>
      </c>
      <c r="C247" s="1" t="s">
        <v>38</v>
      </c>
      <c r="D247" s="1" t="s">
        <v>47</v>
      </c>
      <c r="E247">
        <v>1122</v>
      </c>
      <c r="F247" s="2">
        <v>10</v>
      </c>
      <c r="G247" s="2">
        <v>20</v>
      </c>
      <c r="H247" s="2">
        <v>22440</v>
      </c>
      <c r="I247" s="2">
        <v>2468.4</v>
      </c>
      <c r="J247" s="2">
        <v>19971.599999999999</v>
      </c>
      <c r="K247" s="2">
        <v>11220</v>
      </c>
      <c r="L247" s="2">
        <v>8751.5999999999985</v>
      </c>
      <c r="M247" s="3">
        <v>41699</v>
      </c>
      <c r="N247" s="4">
        <v>3</v>
      </c>
      <c r="O247" s="1" t="s">
        <v>30</v>
      </c>
      <c r="P247" s="5" t="s">
        <v>22</v>
      </c>
      <c r="Q247" s="2">
        <f>sales[[#This Row],[Profit]]/sales[[#This Row],[Units Sold]]</f>
        <v>7.7999999999999989</v>
      </c>
    </row>
    <row r="248" spans="1:17" x14ac:dyDescent="0.25">
      <c r="A248" t="s">
        <v>17</v>
      </c>
      <c r="B248" t="s">
        <v>18</v>
      </c>
      <c r="C248" s="1" t="s">
        <v>38</v>
      </c>
      <c r="D248" s="1" t="s">
        <v>47</v>
      </c>
      <c r="E248">
        <v>2104.5</v>
      </c>
      <c r="F248" s="2">
        <v>10</v>
      </c>
      <c r="G248" s="2">
        <v>350</v>
      </c>
      <c r="H248" s="2">
        <v>736575</v>
      </c>
      <c r="I248" s="2">
        <v>81023.25</v>
      </c>
      <c r="J248" s="2">
        <v>655551.75</v>
      </c>
      <c r="K248" s="2">
        <v>547170</v>
      </c>
      <c r="L248" s="2">
        <v>108381.75</v>
      </c>
      <c r="M248" s="3">
        <v>41821</v>
      </c>
      <c r="N248" s="4">
        <v>7</v>
      </c>
      <c r="O248" s="1" t="s">
        <v>33</v>
      </c>
      <c r="P248" s="5" t="s">
        <v>22</v>
      </c>
      <c r="Q248" s="2">
        <f>sales[[#This Row],[Profit]]/sales[[#This Row],[Units Sold]]</f>
        <v>51.5</v>
      </c>
    </row>
    <row r="249" spans="1:17" x14ac:dyDescent="0.25">
      <c r="A249" t="s">
        <v>31</v>
      </c>
      <c r="B249" t="s">
        <v>18</v>
      </c>
      <c r="C249" s="1" t="s">
        <v>38</v>
      </c>
      <c r="D249" s="1" t="s">
        <v>47</v>
      </c>
      <c r="E249">
        <v>4026</v>
      </c>
      <c r="F249" s="2">
        <v>10</v>
      </c>
      <c r="G249" s="2">
        <v>12</v>
      </c>
      <c r="H249" s="2">
        <v>48312</v>
      </c>
      <c r="I249" s="2">
        <v>5314.32</v>
      </c>
      <c r="J249" s="2">
        <v>42997.68</v>
      </c>
      <c r="K249" s="2">
        <v>12078</v>
      </c>
      <c r="L249" s="2">
        <v>30919.68</v>
      </c>
      <c r="M249" s="3">
        <v>41821</v>
      </c>
      <c r="N249" s="4">
        <v>7</v>
      </c>
      <c r="O249" s="1" t="s">
        <v>33</v>
      </c>
      <c r="P249" s="5" t="s">
        <v>22</v>
      </c>
      <c r="Q249" s="2">
        <f>sales[[#This Row],[Profit]]/sales[[#This Row],[Units Sold]]</f>
        <v>7.68</v>
      </c>
    </row>
    <row r="250" spans="1:17" x14ac:dyDescent="0.25">
      <c r="A250" t="s">
        <v>31</v>
      </c>
      <c r="B250" t="s">
        <v>25</v>
      </c>
      <c r="C250" s="1" t="s">
        <v>38</v>
      </c>
      <c r="D250" s="1" t="s">
        <v>47</v>
      </c>
      <c r="E250">
        <v>2425.5</v>
      </c>
      <c r="F250" s="2">
        <v>10</v>
      </c>
      <c r="G250" s="2">
        <v>12</v>
      </c>
      <c r="H250" s="2">
        <v>29106</v>
      </c>
      <c r="I250" s="2">
        <v>3201.66</v>
      </c>
      <c r="J250" s="2">
        <v>25904.340000000004</v>
      </c>
      <c r="K250" s="2">
        <v>7276.5</v>
      </c>
      <c r="L250" s="2">
        <v>18627.840000000004</v>
      </c>
      <c r="M250" s="3">
        <v>41821</v>
      </c>
      <c r="N250" s="4">
        <v>7</v>
      </c>
      <c r="O250" s="1" t="s">
        <v>33</v>
      </c>
      <c r="P250" s="5" t="s">
        <v>22</v>
      </c>
      <c r="Q250" s="2">
        <f>sales[[#This Row],[Profit]]/sales[[#This Row],[Units Sold]]</f>
        <v>7.6800000000000015</v>
      </c>
    </row>
    <row r="251" spans="1:17" x14ac:dyDescent="0.25">
      <c r="A251" t="s">
        <v>17</v>
      </c>
      <c r="B251" t="s">
        <v>18</v>
      </c>
      <c r="C251" s="1" t="s">
        <v>38</v>
      </c>
      <c r="D251" s="1" t="s">
        <v>47</v>
      </c>
      <c r="E251">
        <v>2394</v>
      </c>
      <c r="F251" s="2">
        <v>10</v>
      </c>
      <c r="G251" s="2">
        <v>20</v>
      </c>
      <c r="H251" s="2">
        <v>47880</v>
      </c>
      <c r="I251" s="2">
        <v>5266.8</v>
      </c>
      <c r="J251" s="2">
        <v>42613.2</v>
      </c>
      <c r="K251" s="2">
        <v>23940</v>
      </c>
      <c r="L251" s="2">
        <v>18673.199999999997</v>
      </c>
      <c r="M251" s="3">
        <v>41852</v>
      </c>
      <c r="N251" s="4">
        <v>8</v>
      </c>
      <c r="O251" s="1" t="s">
        <v>35</v>
      </c>
      <c r="P251" s="5" t="s">
        <v>22</v>
      </c>
      <c r="Q251" s="2">
        <f>sales[[#This Row],[Profit]]/sales[[#This Row],[Units Sold]]</f>
        <v>7.7999999999999989</v>
      </c>
    </row>
    <row r="252" spans="1:17" x14ac:dyDescent="0.25">
      <c r="A252" t="s">
        <v>24</v>
      </c>
      <c r="B252" t="s">
        <v>27</v>
      </c>
      <c r="C252" s="1" t="s">
        <v>38</v>
      </c>
      <c r="D252" s="1" t="s">
        <v>47</v>
      </c>
      <c r="E252">
        <v>1984</v>
      </c>
      <c r="F252" s="2">
        <v>10</v>
      </c>
      <c r="G252" s="2">
        <v>15</v>
      </c>
      <c r="H252" s="2">
        <v>29760</v>
      </c>
      <c r="I252" s="2">
        <v>3273.6</v>
      </c>
      <c r="J252" s="2">
        <v>26486.400000000001</v>
      </c>
      <c r="K252" s="2">
        <v>19840</v>
      </c>
      <c r="L252" s="2">
        <v>6646.4000000000015</v>
      </c>
      <c r="M252" s="3">
        <v>41852</v>
      </c>
      <c r="N252" s="4">
        <v>8</v>
      </c>
      <c r="O252" s="1" t="s">
        <v>35</v>
      </c>
      <c r="P252" s="5" t="s">
        <v>22</v>
      </c>
      <c r="Q252" s="2">
        <f>sales[[#This Row],[Profit]]/sales[[#This Row],[Units Sold]]</f>
        <v>3.3500000000000005</v>
      </c>
    </row>
    <row r="253" spans="1:17" x14ac:dyDescent="0.25">
      <c r="A253" t="s">
        <v>34</v>
      </c>
      <c r="B253" t="s">
        <v>18</v>
      </c>
      <c r="C253" s="1" t="s">
        <v>38</v>
      </c>
      <c r="D253" s="1" t="s">
        <v>47</v>
      </c>
      <c r="E253">
        <v>1366</v>
      </c>
      <c r="F253" s="2">
        <v>10</v>
      </c>
      <c r="G253" s="2">
        <v>300</v>
      </c>
      <c r="H253" s="2">
        <v>409800</v>
      </c>
      <c r="I253" s="2">
        <v>45078</v>
      </c>
      <c r="J253" s="2">
        <v>364722</v>
      </c>
      <c r="K253" s="2">
        <v>341500</v>
      </c>
      <c r="L253" s="2">
        <v>23222</v>
      </c>
      <c r="M253" s="3">
        <v>41944</v>
      </c>
      <c r="N253" s="4">
        <v>11</v>
      </c>
      <c r="O253" s="1" t="s">
        <v>45</v>
      </c>
      <c r="P253" s="5" t="s">
        <v>22</v>
      </c>
      <c r="Q253" s="2">
        <f>sales[[#This Row],[Profit]]/sales[[#This Row],[Units Sold]]</f>
        <v>17</v>
      </c>
    </row>
    <row r="254" spans="1:17" x14ac:dyDescent="0.25">
      <c r="A254" t="s">
        <v>17</v>
      </c>
      <c r="B254" t="s">
        <v>27</v>
      </c>
      <c r="C254" s="1" t="s">
        <v>41</v>
      </c>
      <c r="D254" s="1" t="s">
        <v>47</v>
      </c>
      <c r="E254">
        <v>2629</v>
      </c>
      <c r="F254" s="2">
        <v>260</v>
      </c>
      <c r="G254" s="2">
        <v>20</v>
      </c>
      <c r="H254" s="2">
        <v>52580</v>
      </c>
      <c r="I254" s="2">
        <v>5783.8</v>
      </c>
      <c r="J254" s="2">
        <v>46796.2</v>
      </c>
      <c r="K254" s="2">
        <v>26290</v>
      </c>
      <c r="L254" s="2">
        <v>20506.199999999997</v>
      </c>
      <c r="M254" s="3">
        <v>41640</v>
      </c>
      <c r="N254" s="4">
        <v>1</v>
      </c>
      <c r="O254" s="1" t="s">
        <v>21</v>
      </c>
      <c r="P254" s="5" t="s">
        <v>22</v>
      </c>
      <c r="Q254" s="2">
        <f>sales[[#This Row],[Profit]]/sales[[#This Row],[Units Sold]]</f>
        <v>7.7999999999999989</v>
      </c>
    </row>
    <row r="255" spans="1:17" x14ac:dyDescent="0.25">
      <c r="A255" t="s">
        <v>24</v>
      </c>
      <c r="B255" t="s">
        <v>27</v>
      </c>
      <c r="C255" s="1" t="s">
        <v>41</v>
      </c>
      <c r="D255" s="1" t="s">
        <v>47</v>
      </c>
      <c r="E255">
        <v>2157</v>
      </c>
      <c r="F255" s="2">
        <v>260</v>
      </c>
      <c r="G255" s="2">
        <v>15</v>
      </c>
      <c r="H255" s="2">
        <v>32355</v>
      </c>
      <c r="I255" s="2">
        <v>3559.05</v>
      </c>
      <c r="J255" s="2">
        <v>28795.95</v>
      </c>
      <c r="K255" s="2">
        <v>21570</v>
      </c>
      <c r="L255" s="2">
        <v>7225.9500000000007</v>
      </c>
      <c r="M255" s="3">
        <v>41974</v>
      </c>
      <c r="N255" s="4">
        <v>12</v>
      </c>
      <c r="O255" s="1" t="s">
        <v>28</v>
      </c>
      <c r="P255" s="5" t="s">
        <v>22</v>
      </c>
      <c r="Q255" s="2">
        <f>sales[[#This Row],[Profit]]/sales[[#This Row],[Units Sold]]</f>
        <v>3.3500000000000005</v>
      </c>
    </row>
    <row r="256" spans="1:17" x14ac:dyDescent="0.25">
      <c r="A256" t="s">
        <v>17</v>
      </c>
      <c r="B256" t="s">
        <v>27</v>
      </c>
      <c r="C256" s="1" t="s">
        <v>19</v>
      </c>
      <c r="D256" s="1" t="s">
        <v>47</v>
      </c>
      <c r="E256">
        <v>886</v>
      </c>
      <c r="F256" s="2">
        <v>3</v>
      </c>
      <c r="G256" s="2">
        <v>350</v>
      </c>
      <c r="H256" s="2">
        <v>310100</v>
      </c>
      <c r="I256" s="2">
        <v>37212</v>
      </c>
      <c r="J256" s="2">
        <v>272888</v>
      </c>
      <c r="K256" s="2">
        <v>230360</v>
      </c>
      <c r="L256" s="2">
        <v>42528</v>
      </c>
      <c r="M256" s="3">
        <v>41791</v>
      </c>
      <c r="N256" s="4">
        <v>6</v>
      </c>
      <c r="O256" s="1" t="s">
        <v>26</v>
      </c>
      <c r="P256" s="5" t="s">
        <v>22</v>
      </c>
      <c r="Q256" s="2">
        <f>sales[[#This Row],[Profit]]/sales[[#This Row],[Units Sold]]</f>
        <v>48</v>
      </c>
    </row>
    <row r="257" spans="1:17" x14ac:dyDescent="0.25">
      <c r="A257" t="s">
        <v>24</v>
      </c>
      <c r="B257" t="s">
        <v>18</v>
      </c>
      <c r="C257" s="1" t="s">
        <v>19</v>
      </c>
      <c r="D257" s="1" t="s">
        <v>47</v>
      </c>
      <c r="E257">
        <v>2689</v>
      </c>
      <c r="F257" s="2">
        <v>3</v>
      </c>
      <c r="G257" s="2">
        <v>15</v>
      </c>
      <c r="H257" s="2">
        <v>40335</v>
      </c>
      <c r="I257" s="2">
        <v>4840.2</v>
      </c>
      <c r="J257" s="2">
        <v>35494.800000000003</v>
      </c>
      <c r="K257" s="2">
        <v>26890</v>
      </c>
      <c r="L257" s="2">
        <v>8604.8000000000029</v>
      </c>
      <c r="M257" s="3">
        <v>41944</v>
      </c>
      <c r="N257" s="4">
        <v>11</v>
      </c>
      <c r="O257" s="1" t="s">
        <v>45</v>
      </c>
      <c r="P257" s="5" t="s">
        <v>22</v>
      </c>
      <c r="Q257" s="2">
        <f>sales[[#This Row],[Profit]]/sales[[#This Row],[Units Sold]]</f>
        <v>3.2000000000000011</v>
      </c>
    </row>
    <row r="258" spans="1:17" x14ac:dyDescent="0.25">
      <c r="A258" t="s">
        <v>24</v>
      </c>
      <c r="B258" t="s">
        <v>37</v>
      </c>
      <c r="C258" s="1" t="s">
        <v>29</v>
      </c>
      <c r="D258" s="1" t="s">
        <v>47</v>
      </c>
      <c r="E258">
        <v>677</v>
      </c>
      <c r="F258" s="2">
        <v>5</v>
      </c>
      <c r="G258" s="2">
        <v>15</v>
      </c>
      <c r="H258" s="2">
        <v>10155</v>
      </c>
      <c r="I258" s="2">
        <v>1218.5999999999999</v>
      </c>
      <c r="J258" s="2">
        <v>8936.4</v>
      </c>
      <c r="K258" s="2">
        <v>6770</v>
      </c>
      <c r="L258" s="2">
        <v>2166.3999999999996</v>
      </c>
      <c r="M258" s="3">
        <v>41699</v>
      </c>
      <c r="N258" s="4">
        <v>3</v>
      </c>
      <c r="O258" s="1" t="s">
        <v>30</v>
      </c>
      <c r="P258" s="5" t="s">
        <v>22</v>
      </c>
      <c r="Q258" s="2">
        <f>sales[[#This Row],[Profit]]/sales[[#This Row],[Units Sold]]</f>
        <v>3.1999999999999993</v>
      </c>
    </row>
    <row r="259" spans="1:17" x14ac:dyDescent="0.25">
      <c r="A259" t="s">
        <v>34</v>
      </c>
      <c r="B259" t="s">
        <v>25</v>
      </c>
      <c r="C259" s="1" t="s">
        <v>29</v>
      </c>
      <c r="D259" s="1" t="s">
        <v>47</v>
      </c>
      <c r="E259">
        <v>1773</v>
      </c>
      <c r="F259" s="2">
        <v>5</v>
      </c>
      <c r="G259" s="2">
        <v>300</v>
      </c>
      <c r="H259" s="2">
        <v>531900</v>
      </c>
      <c r="I259" s="2">
        <v>63828</v>
      </c>
      <c r="J259" s="2">
        <v>468072</v>
      </c>
      <c r="K259" s="2">
        <v>443250</v>
      </c>
      <c r="L259" s="2">
        <v>24822</v>
      </c>
      <c r="M259" s="3">
        <v>41730</v>
      </c>
      <c r="N259" s="4">
        <v>4</v>
      </c>
      <c r="O259" s="1" t="s">
        <v>42</v>
      </c>
      <c r="P259" s="5" t="s">
        <v>22</v>
      </c>
      <c r="Q259" s="2">
        <f>sales[[#This Row],[Profit]]/sales[[#This Row],[Units Sold]]</f>
        <v>14</v>
      </c>
    </row>
    <row r="260" spans="1:17" x14ac:dyDescent="0.25">
      <c r="A260" t="s">
        <v>17</v>
      </c>
      <c r="B260" t="s">
        <v>27</v>
      </c>
      <c r="C260" s="1" t="s">
        <v>29</v>
      </c>
      <c r="D260" s="1" t="s">
        <v>47</v>
      </c>
      <c r="E260">
        <v>2420</v>
      </c>
      <c r="F260" s="2">
        <v>5</v>
      </c>
      <c r="G260" s="2">
        <v>7</v>
      </c>
      <c r="H260" s="2">
        <v>16940</v>
      </c>
      <c r="I260" s="2">
        <v>2032.8</v>
      </c>
      <c r="J260" s="2">
        <v>14907.2</v>
      </c>
      <c r="K260" s="2">
        <v>12100</v>
      </c>
      <c r="L260" s="2">
        <v>2807.2000000000007</v>
      </c>
      <c r="M260" s="3">
        <v>41883</v>
      </c>
      <c r="N260" s="4">
        <v>9</v>
      </c>
      <c r="O260" s="1" t="s">
        <v>36</v>
      </c>
      <c r="P260" s="5" t="s">
        <v>22</v>
      </c>
      <c r="Q260" s="2">
        <f>sales[[#This Row],[Profit]]/sales[[#This Row],[Units Sold]]</f>
        <v>1.1600000000000004</v>
      </c>
    </row>
    <row r="261" spans="1:17" x14ac:dyDescent="0.25">
      <c r="A261" t="s">
        <v>17</v>
      </c>
      <c r="B261" t="s">
        <v>18</v>
      </c>
      <c r="C261" s="1" t="s">
        <v>29</v>
      </c>
      <c r="D261" s="1" t="s">
        <v>47</v>
      </c>
      <c r="E261">
        <v>2734</v>
      </c>
      <c r="F261" s="2">
        <v>5</v>
      </c>
      <c r="G261" s="2">
        <v>7</v>
      </c>
      <c r="H261" s="2">
        <v>19138</v>
      </c>
      <c r="I261" s="2">
        <v>2296.56</v>
      </c>
      <c r="J261" s="2">
        <v>16841.439999999999</v>
      </c>
      <c r="K261" s="2">
        <v>13670</v>
      </c>
      <c r="L261" s="2">
        <v>3171.4399999999987</v>
      </c>
      <c r="M261" s="3">
        <v>41913</v>
      </c>
      <c r="N261" s="4">
        <v>10</v>
      </c>
      <c r="O261" s="1" t="s">
        <v>40</v>
      </c>
      <c r="P261" s="5" t="s">
        <v>22</v>
      </c>
      <c r="Q261" s="2">
        <f>sales[[#This Row],[Profit]]/sales[[#This Row],[Units Sold]]</f>
        <v>1.1599999999999995</v>
      </c>
    </row>
    <row r="262" spans="1:17" x14ac:dyDescent="0.25">
      <c r="A262" t="s">
        <v>34</v>
      </c>
      <c r="B262" t="s">
        <v>37</v>
      </c>
      <c r="C262" s="1" t="s">
        <v>38</v>
      </c>
      <c r="D262" s="1" t="s">
        <v>47</v>
      </c>
      <c r="E262">
        <v>3495</v>
      </c>
      <c r="F262" s="2">
        <v>10</v>
      </c>
      <c r="G262" s="2">
        <v>300</v>
      </c>
      <c r="H262" s="2">
        <v>1048500</v>
      </c>
      <c r="I262" s="2">
        <v>125820</v>
      </c>
      <c r="J262" s="2">
        <v>922680</v>
      </c>
      <c r="K262" s="2">
        <v>873750</v>
      </c>
      <c r="L262" s="2">
        <v>48930</v>
      </c>
      <c r="M262" s="3">
        <v>41640</v>
      </c>
      <c r="N262" s="4">
        <v>1</v>
      </c>
      <c r="O262" s="1" t="s">
        <v>21</v>
      </c>
      <c r="P262" s="5" t="s">
        <v>22</v>
      </c>
      <c r="Q262" s="2">
        <f>sales[[#This Row],[Profit]]/sales[[#This Row],[Units Sold]]</f>
        <v>14</v>
      </c>
    </row>
    <row r="263" spans="1:17" x14ac:dyDescent="0.25">
      <c r="A263" t="s">
        <v>17</v>
      </c>
      <c r="B263" t="s">
        <v>27</v>
      </c>
      <c r="C263" s="1" t="s">
        <v>38</v>
      </c>
      <c r="D263" s="1" t="s">
        <v>47</v>
      </c>
      <c r="E263">
        <v>886</v>
      </c>
      <c r="F263" s="2">
        <v>10</v>
      </c>
      <c r="G263" s="2">
        <v>350</v>
      </c>
      <c r="H263" s="2">
        <v>310100</v>
      </c>
      <c r="I263" s="2">
        <v>37212</v>
      </c>
      <c r="J263" s="2">
        <v>272888</v>
      </c>
      <c r="K263" s="2">
        <v>230360</v>
      </c>
      <c r="L263" s="2">
        <v>42528</v>
      </c>
      <c r="M263" s="3">
        <v>41791</v>
      </c>
      <c r="N263" s="4">
        <v>6</v>
      </c>
      <c r="O263" s="1" t="s">
        <v>26</v>
      </c>
      <c r="P263" s="5" t="s">
        <v>22</v>
      </c>
      <c r="Q263" s="2">
        <f>sales[[#This Row],[Profit]]/sales[[#This Row],[Units Sold]]</f>
        <v>48</v>
      </c>
    </row>
    <row r="264" spans="1:17" x14ac:dyDescent="0.25">
      <c r="A264" t="s">
        <v>17</v>
      </c>
      <c r="B264" t="s">
        <v>27</v>
      </c>
      <c r="C264" s="1" t="s">
        <v>38</v>
      </c>
      <c r="D264" s="1" t="s">
        <v>47</v>
      </c>
      <c r="E264">
        <v>905</v>
      </c>
      <c r="F264" s="2">
        <v>10</v>
      </c>
      <c r="G264" s="2">
        <v>20</v>
      </c>
      <c r="H264" s="2">
        <v>18100</v>
      </c>
      <c r="I264" s="2">
        <v>2172</v>
      </c>
      <c r="J264" s="2">
        <v>15928</v>
      </c>
      <c r="K264" s="2">
        <v>9050</v>
      </c>
      <c r="L264" s="2">
        <v>6878</v>
      </c>
      <c r="M264" s="3">
        <v>41913</v>
      </c>
      <c r="N264" s="4">
        <v>10</v>
      </c>
      <c r="O264" s="1" t="s">
        <v>40</v>
      </c>
      <c r="P264" s="5" t="s">
        <v>22</v>
      </c>
      <c r="Q264" s="2">
        <f>sales[[#This Row],[Profit]]/sales[[#This Row],[Units Sold]]</f>
        <v>7.6</v>
      </c>
    </row>
    <row r="265" spans="1:17" x14ac:dyDescent="0.25">
      <c r="A265" t="s">
        <v>17</v>
      </c>
      <c r="B265" t="s">
        <v>25</v>
      </c>
      <c r="C265" s="1" t="s">
        <v>38</v>
      </c>
      <c r="D265" s="1" t="s">
        <v>47</v>
      </c>
      <c r="E265">
        <v>1594</v>
      </c>
      <c r="F265" s="2">
        <v>10</v>
      </c>
      <c r="G265" s="2">
        <v>350</v>
      </c>
      <c r="H265" s="2">
        <v>557900</v>
      </c>
      <c r="I265" s="2">
        <v>66948</v>
      </c>
      <c r="J265" s="2">
        <v>490952</v>
      </c>
      <c r="K265" s="2">
        <v>414440</v>
      </c>
      <c r="L265" s="2">
        <v>76512</v>
      </c>
      <c r="M265" s="3">
        <v>41944</v>
      </c>
      <c r="N265" s="4">
        <v>11</v>
      </c>
      <c r="O265" s="1" t="s">
        <v>45</v>
      </c>
      <c r="P265" s="5" t="s">
        <v>22</v>
      </c>
      <c r="Q265" s="2">
        <f>sales[[#This Row],[Profit]]/sales[[#This Row],[Units Sold]]</f>
        <v>48</v>
      </c>
    </row>
    <row r="266" spans="1:17" x14ac:dyDescent="0.25">
      <c r="A266" t="s">
        <v>34</v>
      </c>
      <c r="B266" t="s">
        <v>23</v>
      </c>
      <c r="C266" s="1" t="s">
        <v>38</v>
      </c>
      <c r="D266" s="1" t="s">
        <v>47</v>
      </c>
      <c r="E266">
        <v>1359</v>
      </c>
      <c r="F266" s="2">
        <v>10</v>
      </c>
      <c r="G266" s="2">
        <v>300</v>
      </c>
      <c r="H266" s="2">
        <v>407700</v>
      </c>
      <c r="I266" s="2">
        <v>48924</v>
      </c>
      <c r="J266" s="2">
        <v>358776</v>
      </c>
      <c r="K266" s="2">
        <v>339750</v>
      </c>
      <c r="L266" s="2">
        <v>19026</v>
      </c>
      <c r="M266" s="3">
        <v>41944</v>
      </c>
      <c r="N266" s="4">
        <v>11</v>
      </c>
      <c r="O266" s="1" t="s">
        <v>45</v>
      </c>
      <c r="P266" s="5" t="s">
        <v>22</v>
      </c>
      <c r="Q266" s="2">
        <f>sales[[#This Row],[Profit]]/sales[[#This Row],[Units Sold]]</f>
        <v>14</v>
      </c>
    </row>
    <row r="267" spans="1:17" x14ac:dyDescent="0.25">
      <c r="A267" t="s">
        <v>34</v>
      </c>
      <c r="B267" t="s">
        <v>27</v>
      </c>
      <c r="C267" s="1" t="s">
        <v>38</v>
      </c>
      <c r="D267" s="1" t="s">
        <v>47</v>
      </c>
      <c r="E267">
        <v>2150</v>
      </c>
      <c r="F267" s="2">
        <v>10</v>
      </c>
      <c r="G267" s="2">
        <v>300</v>
      </c>
      <c r="H267" s="2">
        <v>645000</v>
      </c>
      <c r="I267" s="2">
        <v>77400</v>
      </c>
      <c r="J267" s="2">
        <v>567600</v>
      </c>
      <c r="K267" s="2">
        <v>537500</v>
      </c>
      <c r="L267" s="2">
        <v>30100</v>
      </c>
      <c r="M267" s="3">
        <v>41944</v>
      </c>
      <c r="N267" s="4">
        <v>11</v>
      </c>
      <c r="O267" s="1" t="s">
        <v>45</v>
      </c>
      <c r="P267" s="5" t="s">
        <v>22</v>
      </c>
      <c r="Q267" s="2">
        <f>sales[[#This Row],[Profit]]/sales[[#This Row],[Units Sold]]</f>
        <v>14</v>
      </c>
    </row>
    <row r="268" spans="1:17" x14ac:dyDescent="0.25">
      <c r="A268" t="s">
        <v>17</v>
      </c>
      <c r="B268" t="s">
        <v>27</v>
      </c>
      <c r="C268" s="1" t="s">
        <v>38</v>
      </c>
      <c r="D268" s="1" t="s">
        <v>47</v>
      </c>
      <c r="E268">
        <v>1197</v>
      </c>
      <c r="F268" s="2">
        <v>10</v>
      </c>
      <c r="G268" s="2">
        <v>350</v>
      </c>
      <c r="H268" s="2">
        <v>418950</v>
      </c>
      <c r="I268" s="2">
        <v>50274</v>
      </c>
      <c r="J268" s="2">
        <v>368676</v>
      </c>
      <c r="K268" s="2">
        <v>311220</v>
      </c>
      <c r="L268" s="2">
        <v>57456</v>
      </c>
      <c r="M268" s="3">
        <v>41944</v>
      </c>
      <c r="N268" s="4">
        <v>11</v>
      </c>
      <c r="O268" s="1" t="s">
        <v>45</v>
      </c>
      <c r="P268" s="5" t="s">
        <v>22</v>
      </c>
      <c r="Q268" s="2">
        <f>sales[[#This Row],[Profit]]/sales[[#This Row],[Units Sold]]</f>
        <v>48</v>
      </c>
    </row>
    <row r="269" spans="1:17" x14ac:dyDescent="0.25">
      <c r="A269" t="s">
        <v>17</v>
      </c>
      <c r="B269" t="s">
        <v>27</v>
      </c>
      <c r="C269" s="1" t="s">
        <v>38</v>
      </c>
      <c r="D269" s="1" t="s">
        <v>47</v>
      </c>
      <c r="E269">
        <v>1233</v>
      </c>
      <c r="F269" s="2">
        <v>10</v>
      </c>
      <c r="G269" s="2">
        <v>20</v>
      </c>
      <c r="H269" s="2">
        <v>24660</v>
      </c>
      <c r="I269" s="2">
        <v>2959.2</v>
      </c>
      <c r="J269" s="2">
        <v>21700.799999999999</v>
      </c>
      <c r="K269" s="2">
        <v>12330</v>
      </c>
      <c r="L269" s="2">
        <v>9370.7999999999993</v>
      </c>
      <c r="M269" s="3">
        <v>41974</v>
      </c>
      <c r="N269" s="4">
        <v>12</v>
      </c>
      <c r="O269" s="1" t="s">
        <v>28</v>
      </c>
      <c r="P269" s="5" t="s">
        <v>22</v>
      </c>
      <c r="Q269" s="2">
        <f>sales[[#This Row],[Profit]]/sales[[#This Row],[Units Sold]]</f>
        <v>7.6</v>
      </c>
    </row>
    <row r="270" spans="1:17" x14ac:dyDescent="0.25">
      <c r="A270" t="s">
        <v>17</v>
      </c>
      <c r="B270" t="s">
        <v>37</v>
      </c>
      <c r="C270" s="1" t="s">
        <v>41</v>
      </c>
      <c r="D270" s="1" t="s">
        <v>47</v>
      </c>
      <c r="E270">
        <v>270</v>
      </c>
      <c r="F270" s="2">
        <v>260</v>
      </c>
      <c r="G270" s="2">
        <v>350</v>
      </c>
      <c r="H270" s="2">
        <v>94500</v>
      </c>
      <c r="I270" s="2">
        <v>11340</v>
      </c>
      <c r="J270" s="2">
        <v>83160</v>
      </c>
      <c r="K270" s="2">
        <v>70200</v>
      </c>
      <c r="L270" s="2">
        <v>12960</v>
      </c>
      <c r="M270" s="3">
        <v>41671</v>
      </c>
      <c r="N270" s="4">
        <v>2</v>
      </c>
      <c r="O270" s="1" t="s">
        <v>39</v>
      </c>
      <c r="P270" s="5" t="s">
        <v>22</v>
      </c>
      <c r="Q270" s="2">
        <f>sales[[#This Row],[Profit]]/sales[[#This Row],[Units Sold]]</f>
        <v>48</v>
      </c>
    </row>
    <row r="271" spans="1:17" x14ac:dyDescent="0.25">
      <c r="A271" t="s">
        <v>17</v>
      </c>
      <c r="B271" t="s">
        <v>25</v>
      </c>
      <c r="C271" s="1" t="s">
        <v>41</v>
      </c>
      <c r="D271" s="1" t="s">
        <v>47</v>
      </c>
      <c r="E271">
        <v>3421.5</v>
      </c>
      <c r="F271" s="2">
        <v>260</v>
      </c>
      <c r="G271" s="2">
        <v>7</v>
      </c>
      <c r="H271" s="2">
        <v>23950.5</v>
      </c>
      <c r="I271" s="2">
        <v>2874.06</v>
      </c>
      <c r="J271" s="2">
        <v>21076.44</v>
      </c>
      <c r="K271" s="2">
        <v>17107.5</v>
      </c>
      <c r="L271" s="2">
        <v>3968.9399999999987</v>
      </c>
      <c r="M271" s="3">
        <v>41821</v>
      </c>
      <c r="N271" s="4">
        <v>7</v>
      </c>
      <c r="O271" s="1" t="s">
        <v>33</v>
      </c>
      <c r="P271" s="5" t="s">
        <v>22</v>
      </c>
      <c r="Q271" s="2">
        <f>sales[[#This Row],[Profit]]/sales[[#This Row],[Units Sold]]</f>
        <v>1.1599999999999997</v>
      </c>
    </row>
    <row r="272" spans="1:17" x14ac:dyDescent="0.25">
      <c r="A272" t="s">
        <v>17</v>
      </c>
      <c r="B272" t="s">
        <v>18</v>
      </c>
      <c r="C272" s="1" t="s">
        <v>41</v>
      </c>
      <c r="D272" s="1" t="s">
        <v>47</v>
      </c>
      <c r="E272">
        <v>2734</v>
      </c>
      <c r="F272" s="2">
        <v>260</v>
      </c>
      <c r="G272" s="2">
        <v>7</v>
      </c>
      <c r="H272" s="2">
        <v>19138</v>
      </c>
      <c r="I272" s="2">
        <v>2296.56</v>
      </c>
      <c r="J272" s="2">
        <v>16841.439999999999</v>
      </c>
      <c r="K272" s="2">
        <v>13670</v>
      </c>
      <c r="L272" s="2">
        <v>3171.4399999999987</v>
      </c>
      <c r="M272" s="3">
        <v>41913</v>
      </c>
      <c r="N272" s="4">
        <v>10</v>
      </c>
      <c r="O272" s="1" t="s">
        <v>40</v>
      </c>
      <c r="P272" s="5" t="s">
        <v>22</v>
      </c>
      <c r="Q272" s="2">
        <f>sales[[#This Row],[Profit]]/sales[[#This Row],[Units Sold]]</f>
        <v>1.1599999999999995</v>
      </c>
    </row>
    <row r="273" spans="1:17" x14ac:dyDescent="0.25">
      <c r="A273" t="s">
        <v>17</v>
      </c>
      <c r="B273" t="s">
        <v>25</v>
      </c>
      <c r="C273" s="1" t="s">
        <v>19</v>
      </c>
      <c r="D273" s="1" t="s">
        <v>47</v>
      </c>
      <c r="E273">
        <v>2521.5</v>
      </c>
      <c r="F273" s="2">
        <v>3</v>
      </c>
      <c r="G273" s="2">
        <v>20</v>
      </c>
      <c r="H273" s="2">
        <v>50430</v>
      </c>
      <c r="I273" s="2">
        <v>6051.6</v>
      </c>
      <c r="J273" s="2">
        <v>44378.399999999994</v>
      </c>
      <c r="K273" s="2">
        <v>25215</v>
      </c>
      <c r="L273" s="2">
        <v>19163.399999999998</v>
      </c>
      <c r="M273" s="3">
        <v>41640</v>
      </c>
      <c r="N273" s="4">
        <v>1</v>
      </c>
      <c r="O273" s="1" t="s">
        <v>21</v>
      </c>
      <c r="P273" s="5" t="s">
        <v>22</v>
      </c>
      <c r="Q273" s="2">
        <f>sales[[#This Row],[Profit]]/sales[[#This Row],[Units Sold]]</f>
        <v>7.5999999999999988</v>
      </c>
    </row>
    <row r="274" spans="1:17" x14ac:dyDescent="0.25">
      <c r="A274" t="s">
        <v>31</v>
      </c>
      <c r="B274" t="s">
        <v>27</v>
      </c>
      <c r="C274" s="1" t="s">
        <v>29</v>
      </c>
      <c r="D274" s="1" t="s">
        <v>47</v>
      </c>
      <c r="E274">
        <v>2661</v>
      </c>
      <c r="F274" s="2">
        <v>5</v>
      </c>
      <c r="G274" s="2">
        <v>12</v>
      </c>
      <c r="H274" s="2">
        <v>31932</v>
      </c>
      <c r="I274" s="2">
        <v>3831.84</v>
      </c>
      <c r="J274" s="2">
        <v>28100.16</v>
      </c>
      <c r="K274" s="2">
        <v>7983</v>
      </c>
      <c r="L274" s="2">
        <v>20117.16</v>
      </c>
      <c r="M274" s="3">
        <v>41760</v>
      </c>
      <c r="N274" s="4">
        <v>5</v>
      </c>
      <c r="O274" s="1" t="s">
        <v>44</v>
      </c>
      <c r="P274" s="5" t="s">
        <v>22</v>
      </c>
      <c r="Q274" s="2">
        <f>sales[[#This Row],[Profit]]/sales[[#This Row],[Units Sold]]</f>
        <v>7.56</v>
      </c>
    </row>
    <row r="275" spans="1:17" x14ac:dyDescent="0.25">
      <c r="A275" t="s">
        <v>17</v>
      </c>
      <c r="B275" t="s">
        <v>23</v>
      </c>
      <c r="C275" s="1" t="s">
        <v>38</v>
      </c>
      <c r="D275" s="1" t="s">
        <v>47</v>
      </c>
      <c r="E275">
        <v>1531</v>
      </c>
      <c r="F275" s="2">
        <v>10</v>
      </c>
      <c r="G275" s="2">
        <v>20</v>
      </c>
      <c r="H275" s="2">
        <v>30620</v>
      </c>
      <c r="I275" s="2">
        <v>3674.4</v>
      </c>
      <c r="J275" s="2">
        <v>26945.599999999999</v>
      </c>
      <c r="K275" s="2">
        <v>15310</v>
      </c>
      <c r="L275" s="2">
        <v>11635.599999999999</v>
      </c>
      <c r="M275" s="3">
        <v>41974</v>
      </c>
      <c r="N275" s="4">
        <v>12</v>
      </c>
      <c r="O275" s="1" t="s">
        <v>28</v>
      </c>
      <c r="P275" s="5" t="s">
        <v>22</v>
      </c>
      <c r="Q275" s="2">
        <f>sales[[#This Row],[Profit]]/sales[[#This Row],[Units Sold]]</f>
        <v>7.5999999999999988</v>
      </c>
    </row>
    <row r="276" spans="1:17" x14ac:dyDescent="0.25">
      <c r="A276" t="s">
        <v>24</v>
      </c>
      <c r="B276" t="s">
        <v>37</v>
      </c>
      <c r="C276" s="1" t="s">
        <v>19</v>
      </c>
      <c r="D276" s="1" t="s">
        <v>47</v>
      </c>
      <c r="E276">
        <v>2567</v>
      </c>
      <c r="F276" s="2">
        <v>3</v>
      </c>
      <c r="G276" s="2">
        <v>15</v>
      </c>
      <c r="H276" s="2">
        <v>38505</v>
      </c>
      <c r="I276" s="2">
        <v>5005.6499999999996</v>
      </c>
      <c r="J276" s="2">
        <v>33499.35</v>
      </c>
      <c r="K276" s="2">
        <v>25670</v>
      </c>
      <c r="L276" s="2">
        <v>7829.3499999999985</v>
      </c>
      <c r="M276" s="3">
        <v>41791</v>
      </c>
      <c r="N276" s="4">
        <v>6</v>
      </c>
      <c r="O276" s="1" t="s">
        <v>26</v>
      </c>
      <c r="P276" s="5" t="s">
        <v>22</v>
      </c>
      <c r="Q276" s="2">
        <f>sales[[#This Row],[Profit]]/sales[[#This Row],[Units Sold]]</f>
        <v>3.0499999999999994</v>
      </c>
    </row>
    <row r="277" spans="1:17" x14ac:dyDescent="0.25">
      <c r="A277" t="s">
        <v>17</v>
      </c>
      <c r="B277" t="s">
        <v>18</v>
      </c>
      <c r="C277" s="1" t="s">
        <v>19</v>
      </c>
      <c r="D277" s="1" t="s">
        <v>47</v>
      </c>
      <c r="E277">
        <v>923</v>
      </c>
      <c r="F277" s="2">
        <v>3</v>
      </c>
      <c r="G277" s="2">
        <v>350</v>
      </c>
      <c r="H277" s="2">
        <v>323050</v>
      </c>
      <c r="I277" s="2">
        <v>41996.5</v>
      </c>
      <c r="J277" s="2">
        <v>281053.5</v>
      </c>
      <c r="K277" s="2">
        <v>239980</v>
      </c>
      <c r="L277" s="2">
        <v>41073.5</v>
      </c>
      <c r="M277" s="3">
        <v>41699</v>
      </c>
      <c r="N277" s="4">
        <v>3</v>
      </c>
      <c r="O277" s="1" t="s">
        <v>30</v>
      </c>
      <c r="P277" s="5" t="s">
        <v>22</v>
      </c>
      <c r="Q277" s="2">
        <f>sales[[#This Row],[Profit]]/sales[[#This Row],[Units Sold]]</f>
        <v>44.5</v>
      </c>
    </row>
    <row r="278" spans="1:17" x14ac:dyDescent="0.25">
      <c r="A278" t="s">
        <v>17</v>
      </c>
      <c r="B278" t="s">
        <v>25</v>
      </c>
      <c r="C278" s="1" t="s">
        <v>19</v>
      </c>
      <c r="D278" s="1" t="s">
        <v>47</v>
      </c>
      <c r="E278">
        <v>1790</v>
      </c>
      <c r="F278" s="2">
        <v>3</v>
      </c>
      <c r="G278" s="2">
        <v>350</v>
      </c>
      <c r="H278" s="2">
        <v>626500</v>
      </c>
      <c r="I278" s="2">
        <v>81445</v>
      </c>
      <c r="J278" s="2">
        <v>545055</v>
      </c>
      <c r="K278" s="2">
        <v>465400</v>
      </c>
      <c r="L278" s="2">
        <v>79655</v>
      </c>
      <c r="M278" s="3">
        <v>41699</v>
      </c>
      <c r="N278" s="4">
        <v>3</v>
      </c>
      <c r="O278" s="1" t="s">
        <v>30</v>
      </c>
      <c r="P278" s="5" t="s">
        <v>22</v>
      </c>
      <c r="Q278" s="2">
        <f>sales[[#This Row],[Profit]]/sales[[#This Row],[Units Sold]]</f>
        <v>44.5</v>
      </c>
    </row>
    <row r="279" spans="1:17" x14ac:dyDescent="0.25">
      <c r="A279" t="s">
        <v>17</v>
      </c>
      <c r="B279" t="s">
        <v>37</v>
      </c>
      <c r="C279" s="1" t="s">
        <v>29</v>
      </c>
      <c r="D279" s="1" t="s">
        <v>47</v>
      </c>
      <c r="E279">
        <v>982.5</v>
      </c>
      <c r="F279" s="2">
        <v>5</v>
      </c>
      <c r="G279" s="2">
        <v>350</v>
      </c>
      <c r="H279" s="2">
        <v>343875</v>
      </c>
      <c r="I279" s="2">
        <v>44703.75</v>
      </c>
      <c r="J279" s="2">
        <v>299171.25</v>
      </c>
      <c r="K279" s="2">
        <v>255450</v>
      </c>
      <c r="L279" s="2">
        <v>43721.25</v>
      </c>
      <c r="M279" s="3">
        <v>41640</v>
      </c>
      <c r="N279" s="4">
        <v>1</v>
      </c>
      <c r="O279" s="1" t="s">
        <v>21</v>
      </c>
      <c r="P279" s="5" t="s">
        <v>22</v>
      </c>
      <c r="Q279" s="2">
        <f>sales[[#This Row],[Profit]]/sales[[#This Row],[Units Sold]]</f>
        <v>44.5</v>
      </c>
    </row>
    <row r="280" spans="1:17" x14ac:dyDescent="0.25">
      <c r="A280" t="s">
        <v>17</v>
      </c>
      <c r="B280" t="s">
        <v>37</v>
      </c>
      <c r="C280" s="1" t="s">
        <v>29</v>
      </c>
      <c r="D280" s="1" t="s">
        <v>47</v>
      </c>
      <c r="E280">
        <v>1298</v>
      </c>
      <c r="F280" s="2">
        <v>5</v>
      </c>
      <c r="G280" s="2">
        <v>7</v>
      </c>
      <c r="H280" s="2">
        <v>9086</v>
      </c>
      <c r="I280" s="2">
        <v>1181.18</v>
      </c>
      <c r="J280" s="2">
        <v>7904.82</v>
      </c>
      <c r="K280" s="2">
        <v>6490</v>
      </c>
      <c r="L280" s="2">
        <v>1414.8199999999997</v>
      </c>
      <c r="M280" s="3">
        <v>41671</v>
      </c>
      <c r="N280" s="4">
        <v>2</v>
      </c>
      <c r="O280" s="1" t="s">
        <v>39</v>
      </c>
      <c r="P280" s="5" t="s">
        <v>22</v>
      </c>
      <c r="Q280" s="2">
        <f>sales[[#This Row],[Profit]]/sales[[#This Row],[Units Sold]]</f>
        <v>1.0899999999999999</v>
      </c>
    </row>
    <row r="281" spans="1:17" x14ac:dyDescent="0.25">
      <c r="A281" t="s">
        <v>31</v>
      </c>
      <c r="B281" t="s">
        <v>27</v>
      </c>
      <c r="C281" s="1" t="s">
        <v>29</v>
      </c>
      <c r="D281" s="1" t="s">
        <v>47</v>
      </c>
      <c r="E281">
        <v>604</v>
      </c>
      <c r="F281" s="2">
        <v>5</v>
      </c>
      <c r="G281" s="2">
        <v>12</v>
      </c>
      <c r="H281" s="2">
        <v>7248</v>
      </c>
      <c r="I281" s="2">
        <v>942.24</v>
      </c>
      <c r="J281" s="2">
        <v>6305.76</v>
      </c>
      <c r="K281" s="2">
        <v>1812</v>
      </c>
      <c r="L281" s="2">
        <v>4493.76</v>
      </c>
      <c r="M281" s="3">
        <v>41791</v>
      </c>
      <c r="N281" s="4">
        <v>6</v>
      </c>
      <c r="O281" s="1" t="s">
        <v>26</v>
      </c>
      <c r="P281" s="5" t="s">
        <v>22</v>
      </c>
      <c r="Q281" s="2">
        <f>sales[[#This Row],[Profit]]/sales[[#This Row],[Units Sold]]</f>
        <v>7.44</v>
      </c>
    </row>
    <row r="282" spans="1:17" x14ac:dyDescent="0.25">
      <c r="A282" t="s">
        <v>17</v>
      </c>
      <c r="B282" t="s">
        <v>27</v>
      </c>
      <c r="C282" s="1" t="s">
        <v>29</v>
      </c>
      <c r="D282" s="1" t="s">
        <v>47</v>
      </c>
      <c r="E282">
        <v>2255</v>
      </c>
      <c r="F282" s="2">
        <v>5</v>
      </c>
      <c r="G282" s="2">
        <v>20</v>
      </c>
      <c r="H282" s="2">
        <v>45100</v>
      </c>
      <c r="I282" s="2">
        <v>5863</v>
      </c>
      <c r="J282" s="2">
        <v>39237</v>
      </c>
      <c r="K282" s="2">
        <v>22550</v>
      </c>
      <c r="L282" s="2">
        <v>16687</v>
      </c>
      <c r="M282" s="3">
        <v>41821</v>
      </c>
      <c r="N282" s="4">
        <v>7</v>
      </c>
      <c r="O282" s="1" t="s">
        <v>33</v>
      </c>
      <c r="P282" s="5" t="s">
        <v>22</v>
      </c>
      <c r="Q282" s="2">
        <f>sales[[#This Row],[Profit]]/sales[[#This Row],[Units Sold]]</f>
        <v>7.4</v>
      </c>
    </row>
    <row r="283" spans="1:17" x14ac:dyDescent="0.25">
      <c r="A283" t="s">
        <v>17</v>
      </c>
      <c r="B283" t="s">
        <v>18</v>
      </c>
      <c r="C283" s="1" t="s">
        <v>29</v>
      </c>
      <c r="D283" s="1" t="s">
        <v>47</v>
      </c>
      <c r="E283">
        <v>1249</v>
      </c>
      <c r="F283" s="2">
        <v>5</v>
      </c>
      <c r="G283" s="2">
        <v>20</v>
      </c>
      <c r="H283" s="2">
        <v>24980</v>
      </c>
      <c r="I283" s="2">
        <v>3247.4</v>
      </c>
      <c r="J283" s="2">
        <v>21732.6</v>
      </c>
      <c r="K283" s="2">
        <v>12490</v>
      </c>
      <c r="L283" s="2">
        <v>9242.5999999999985</v>
      </c>
      <c r="M283" s="3">
        <v>41913</v>
      </c>
      <c r="N283" s="4">
        <v>10</v>
      </c>
      <c r="O283" s="1" t="s">
        <v>40</v>
      </c>
      <c r="P283" s="5" t="s">
        <v>22</v>
      </c>
      <c r="Q283" s="2">
        <f>sales[[#This Row],[Profit]]/sales[[#This Row],[Units Sold]]</f>
        <v>7.3999999999999986</v>
      </c>
    </row>
    <row r="284" spans="1:17" x14ac:dyDescent="0.25">
      <c r="A284" t="s">
        <v>17</v>
      </c>
      <c r="B284" t="s">
        <v>37</v>
      </c>
      <c r="C284" s="1" t="s">
        <v>38</v>
      </c>
      <c r="D284" s="1" t="s">
        <v>47</v>
      </c>
      <c r="E284">
        <v>1438.5</v>
      </c>
      <c r="F284" s="2">
        <v>10</v>
      </c>
      <c r="G284" s="2">
        <v>7</v>
      </c>
      <c r="H284" s="2">
        <v>10069.5</v>
      </c>
      <c r="I284" s="2">
        <v>1309.0350000000001</v>
      </c>
      <c r="J284" s="2">
        <v>8760.4650000000001</v>
      </c>
      <c r="K284" s="2">
        <v>7192.5</v>
      </c>
      <c r="L284" s="2">
        <v>1567.9649999999992</v>
      </c>
      <c r="M284" s="3">
        <v>41640</v>
      </c>
      <c r="N284" s="4">
        <v>1</v>
      </c>
      <c r="O284" s="1" t="s">
        <v>21</v>
      </c>
      <c r="P284" s="5" t="s">
        <v>22</v>
      </c>
      <c r="Q284" s="2">
        <f>sales[[#This Row],[Profit]]/sales[[#This Row],[Units Sold]]</f>
        <v>1.0899999999999994</v>
      </c>
    </row>
    <row r="285" spans="1:17" x14ac:dyDescent="0.25">
      <c r="A285" t="s">
        <v>34</v>
      </c>
      <c r="B285" t="s">
        <v>23</v>
      </c>
      <c r="C285" s="1" t="s">
        <v>38</v>
      </c>
      <c r="D285" s="1" t="s">
        <v>47</v>
      </c>
      <c r="E285">
        <v>807</v>
      </c>
      <c r="F285" s="2">
        <v>10</v>
      </c>
      <c r="G285" s="2">
        <v>300</v>
      </c>
      <c r="H285" s="2">
        <v>242100</v>
      </c>
      <c r="I285" s="2">
        <v>31473</v>
      </c>
      <c r="J285" s="2">
        <v>210627</v>
      </c>
      <c r="K285" s="2">
        <v>201750</v>
      </c>
      <c r="L285" s="2">
        <v>8877</v>
      </c>
      <c r="M285" s="3">
        <v>41640</v>
      </c>
      <c r="N285" s="4">
        <v>1</v>
      </c>
      <c r="O285" s="1" t="s">
        <v>21</v>
      </c>
      <c r="P285" s="5" t="s">
        <v>22</v>
      </c>
      <c r="Q285" s="2">
        <f>sales[[#This Row],[Profit]]/sales[[#This Row],[Units Sold]]</f>
        <v>11</v>
      </c>
    </row>
    <row r="286" spans="1:17" x14ac:dyDescent="0.25">
      <c r="A286" t="s">
        <v>17</v>
      </c>
      <c r="B286" t="s">
        <v>37</v>
      </c>
      <c r="C286" s="1" t="s">
        <v>38</v>
      </c>
      <c r="D286" s="1" t="s">
        <v>47</v>
      </c>
      <c r="E286">
        <v>2641</v>
      </c>
      <c r="F286" s="2">
        <v>10</v>
      </c>
      <c r="G286" s="2">
        <v>20</v>
      </c>
      <c r="H286" s="2">
        <v>52820</v>
      </c>
      <c r="I286" s="2">
        <v>6866.6</v>
      </c>
      <c r="J286" s="2">
        <v>45953.4</v>
      </c>
      <c r="K286" s="2">
        <v>26410</v>
      </c>
      <c r="L286" s="2">
        <v>19543.400000000001</v>
      </c>
      <c r="M286" s="3">
        <v>41671</v>
      </c>
      <c r="N286" s="4">
        <v>2</v>
      </c>
      <c r="O286" s="1" t="s">
        <v>39</v>
      </c>
      <c r="P286" s="5" t="s">
        <v>22</v>
      </c>
      <c r="Q286" s="2">
        <f>sales[[#This Row],[Profit]]/sales[[#This Row],[Units Sold]]</f>
        <v>7.4</v>
      </c>
    </row>
    <row r="287" spans="1:17" x14ac:dyDescent="0.25">
      <c r="A287" t="s">
        <v>17</v>
      </c>
      <c r="B287" t="s">
        <v>23</v>
      </c>
      <c r="C287" s="1" t="s">
        <v>38</v>
      </c>
      <c r="D287" s="1" t="s">
        <v>47</v>
      </c>
      <c r="E287">
        <v>2708</v>
      </c>
      <c r="F287" s="2">
        <v>10</v>
      </c>
      <c r="G287" s="2">
        <v>20</v>
      </c>
      <c r="H287" s="2">
        <v>54160</v>
      </c>
      <c r="I287" s="2">
        <v>7040.8</v>
      </c>
      <c r="J287" s="2">
        <v>47119.199999999997</v>
      </c>
      <c r="K287" s="2">
        <v>27080</v>
      </c>
      <c r="L287" s="2">
        <v>20039.199999999997</v>
      </c>
      <c r="M287" s="3">
        <v>41671</v>
      </c>
      <c r="N287" s="4">
        <v>2</v>
      </c>
      <c r="O287" s="1" t="s">
        <v>39</v>
      </c>
      <c r="P287" s="5" t="s">
        <v>22</v>
      </c>
      <c r="Q287" s="2">
        <f>sales[[#This Row],[Profit]]/sales[[#This Row],[Units Sold]]</f>
        <v>7.3999999999999986</v>
      </c>
    </row>
    <row r="288" spans="1:17" x14ac:dyDescent="0.25">
      <c r="A288" t="s">
        <v>17</v>
      </c>
      <c r="B288" t="s">
        <v>18</v>
      </c>
      <c r="C288" s="1" t="s">
        <v>38</v>
      </c>
      <c r="D288" s="1" t="s">
        <v>47</v>
      </c>
      <c r="E288">
        <v>2632</v>
      </c>
      <c r="F288" s="2">
        <v>10</v>
      </c>
      <c r="G288" s="2">
        <v>350</v>
      </c>
      <c r="H288" s="2">
        <v>921200</v>
      </c>
      <c r="I288" s="2">
        <v>119756</v>
      </c>
      <c r="J288" s="2">
        <v>801444</v>
      </c>
      <c r="K288" s="2">
        <v>684320</v>
      </c>
      <c r="L288" s="2">
        <v>117124</v>
      </c>
      <c r="M288" s="3">
        <v>41791</v>
      </c>
      <c r="N288" s="4">
        <v>6</v>
      </c>
      <c r="O288" s="1" t="s">
        <v>26</v>
      </c>
      <c r="P288" s="5" t="s">
        <v>22</v>
      </c>
      <c r="Q288" s="2">
        <f>sales[[#This Row],[Profit]]/sales[[#This Row],[Units Sold]]</f>
        <v>44.5</v>
      </c>
    </row>
    <row r="289" spans="1:17" x14ac:dyDescent="0.25">
      <c r="A289" t="s">
        <v>31</v>
      </c>
      <c r="B289" t="s">
        <v>27</v>
      </c>
      <c r="C289" s="1" t="s">
        <v>38</v>
      </c>
      <c r="D289" s="1" t="s">
        <v>47</v>
      </c>
      <c r="E289">
        <v>571</v>
      </c>
      <c r="F289" s="2">
        <v>10</v>
      </c>
      <c r="G289" s="2">
        <v>12</v>
      </c>
      <c r="H289" s="2">
        <v>6852</v>
      </c>
      <c r="I289" s="2">
        <v>890.76</v>
      </c>
      <c r="J289" s="2">
        <v>5961.24</v>
      </c>
      <c r="K289" s="2">
        <v>1713</v>
      </c>
      <c r="L289" s="2">
        <v>4248.24</v>
      </c>
      <c r="M289" s="3">
        <v>41821</v>
      </c>
      <c r="N289" s="4">
        <v>7</v>
      </c>
      <c r="O289" s="1" t="s">
        <v>33</v>
      </c>
      <c r="P289" s="5" t="s">
        <v>22</v>
      </c>
      <c r="Q289" s="2">
        <f>sales[[#This Row],[Profit]]/sales[[#This Row],[Units Sold]]</f>
        <v>7.4399999999999995</v>
      </c>
    </row>
    <row r="290" spans="1:17" x14ac:dyDescent="0.25">
      <c r="A290" t="s">
        <v>17</v>
      </c>
      <c r="B290" t="s">
        <v>25</v>
      </c>
      <c r="C290" s="1" t="s">
        <v>38</v>
      </c>
      <c r="D290" s="1" t="s">
        <v>47</v>
      </c>
      <c r="E290">
        <v>2696</v>
      </c>
      <c r="F290" s="2">
        <v>10</v>
      </c>
      <c r="G290" s="2">
        <v>7</v>
      </c>
      <c r="H290" s="2">
        <v>18872</v>
      </c>
      <c r="I290" s="2">
        <v>2453.36</v>
      </c>
      <c r="J290" s="2">
        <v>16418.64</v>
      </c>
      <c r="K290" s="2">
        <v>13480</v>
      </c>
      <c r="L290" s="2">
        <v>2938.6399999999994</v>
      </c>
      <c r="M290" s="3">
        <v>41852</v>
      </c>
      <c r="N290" s="4">
        <v>8</v>
      </c>
      <c r="O290" s="1" t="s">
        <v>35</v>
      </c>
      <c r="P290" s="5" t="s">
        <v>22</v>
      </c>
      <c r="Q290" s="2">
        <f>sales[[#This Row],[Profit]]/sales[[#This Row],[Units Sold]]</f>
        <v>1.0899999999999999</v>
      </c>
    </row>
    <row r="291" spans="1:17" x14ac:dyDescent="0.25">
      <c r="A291" t="s">
        <v>24</v>
      </c>
      <c r="B291" t="s">
        <v>18</v>
      </c>
      <c r="C291" s="1" t="s">
        <v>38</v>
      </c>
      <c r="D291" s="1" t="s">
        <v>47</v>
      </c>
      <c r="E291">
        <v>1565</v>
      </c>
      <c r="F291" s="2">
        <v>10</v>
      </c>
      <c r="G291" s="2">
        <v>15</v>
      </c>
      <c r="H291" s="2">
        <v>23475</v>
      </c>
      <c r="I291" s="2">
        <v>3051.75</v>
      </c>
      <c r="J291" s="2">
        <v>20423.25</v>
      </c>
      <c r="K291" s="2">
        <v>15650</v>
      </c>
      <c r="L291" s="2">
        <v>4773.25</v>
      </c>
      <c r="M291" s="3">
        <v>41913</v>
      </c>
      <c r="N291" s="4">
        <v>10</v>
      </c>
      <c r="O291" s="1" t="s">
        <v>40</v>
      </c>
      <c r="P291" s="5" t="s">
        <v>22</v>
      </c>
      <c r="Q291" s="2">
        <f>sales[[#This Row],[Profit]]/sales[[#This Row],[Units Sold]]</f>
        <v>3.05</v>
      </c>
    </row>
    <row r="292" spans="1:17" x14ac:dyDescent="0.25">
      <c r="A292" t="s">
        <v>17</v>
      </c>
      <c r="B292" t="s">
        <v>18</v>
      </c>
      <c r="C292" s="1" t="s">
        <v>38</v>
      </c>
      <c r="D292" s="1" t="s">
        <v>47</v>
      </c>
      <c r="E292">
        <v>1249</v>
      </c>
      <c r="F292" s="2">
        <v>10</v>
      </c>
      <c r="G292" s="2">
        <v>20</v>
      </c>
      <c r="H292" s="2">
        <v>24980</v>
      </c>
      <c r="I292" s="2">
        <v>3247.4</v>
      </c>
      <c r="J292" s="2">
        <v>21732.6</v>
      </c>
      <c r="K292" s="2">
        <v>12490</v>
      </c>
      <c r="L292" s="2">
        <v>9242.5999999999985</v>
      </c>
      <c r="M292" s="3">
        <v>41913</v>
      </c>
      <c r="N292" s="4">
        <v>10</v>
      </c>
      <c r="O292" s="1" t="s">
        <v>40</v>
      </c>
      <c r="P292" s="5" t="s">
        <v>22</v>
      </c>
      <c r="Q292" s="2">
        <f>sales[[#This Row],[Profit]]/sales[[#This Row],[Units Sold]]</f>
        <v>7.3999999999999986</v>
      </c>
    </row>
    <row r="293" spans="1:17" x14ac:dyDescent="0.25">
      <c r="A293" t="s">
        <v>17</v>
      </c>
      <c r="B293" t="s">
        <v>23</v>
      </c>
      <c r="C293" s="1" t="s">
        <v>38</v>
      </c>
      <c r="D293" s="1" t="s">
        <v>47</v>
      </c>
      <c r="E293">
        <v>357</v>
      </c>
      <c r="F293" s="2">
        <v>10</v>
      </c>
      <c r="G293" s="2">
        <v>350</v>
      </c>
      <c r="H293" s="2">
        <v>124950</v>
      </c>
      <c r="I293" s="2">
        <v>16243.5</v>
      </c>
      <c r="J293" s="2">
        <v>108706.5</v>
      </c>
      <c r="K293" s="2">
        <v>92820</v>
      </c>
      <c r="L293" s="2">
        <v>15886.5</v>
      </c>
      <c r="M293" s="3">
        <v>41944</v>
      </c>
      <c r="N293" s="4">
        <v>11</v>
      </c>
      <c r="O293" s="1" t="s">
        <v>45</v>
      </c>
      <c r="P293" s="5" t="s">
        <v>22</v>
      </c>
      <c r="Q293" s="2">
        <f>sales[[#This Row],[Profit]]/sales[[#This Row],[Units Sold]]</f>
        <v>44.5</v>
      </c>
    </row>
    <row r="294" spans="1:17" x14ac:dyDescent="0.25">
      <c r="A294" t="s">
        <v>31</v>
      </c>
      <c r="B294" t="s">
        <v>23</v>
      </c>
      <c r="C294" s="1" t="s">
        <v>38</v>
      </c>
      <c r="D294" s="1" t="s">
        <v>47</v>
      </c>
      <c r="E294">
        <v>1013</v>
      </c>
      <c r="F294" s="2">
        <v>10</v>
      </c>
      <c r="G294" s="2">
        <v>12</v>
      </c>
      <c r="H294" s="2">
        <v>12156</v>
      </c>
      <c r="I294" s="2">
        <v>1580.28</v>
      </c>
      <c r="J294" s="2">
        <v>10575.72</v>
      </c>
      <c r="K294" s="2">
        <v>3039</v>
      </c>
      <c r="L294" s="2">
        <v>7536.7199999999993</v>
      </c>
      <c r="M294" s="3">
        <v>41974</v>
      </c>
      <c r="N294" s="4">
        <v>12</v>
      </c>
      <c r="O294" s="1" t="s">
        <v>28</v>
      </c>
      <c r="P294" s="5" t="s">
        <v>22</v>
      </c>
      <c r="Q294" s="2">
        <f>sales[[#This Row],[Profit]]/sales[[#This Row],[Units Sold]]</f>
        <v>7.4399999999999995</v>
      </c>
    </row>
    <row r="295" spans="1:17" x14ac:dyDescent="0.25">
      <c r="A295" t="s">
        <v>17</v>
      </c>
      <c r="B295" t="s">
        <v>25</v>
      </c>
      <c r="C295" s="1" t="s">
        <v>41</v>
      </c>
      <c r="D295" s="1" t="s">
        <v>47</v>
      </c>
      <c r="E295">
        <v>1190</v>
      </c>
      <c r="F295" s="2">
        <v>260</v>
      </c>
      <c r="G295" s="2">
        <v>7</v>
      </c>
      <c r="H295" s="2">
        <v>8330</v>
      </c>
      <c r="I295" s="2">
        <v>1082.9000000000001</v>
      </c>
      <c r="J295" s="2">
        <v>7247.1</v>
      </c>
      <c r="K295" s="2">
        <v>5950</v>
      </c>
      <c r="L295" s="2">
        <v>1297.1000000000004</v>
      </c>
      <c r="M295" s="3">
        <v>41791</v>
      </c>
      <c r="N295" s="4">
        <v>6</v>
      </c>
      <c r="O295" s="1" t="s">
        <v>26</v>
      </c>
      <c r="P295" s="5" t="s">
        <v>22</v>
      </c>
      <c r="Q295" s="2">
        <f>sales[[#This Row],[Profit]]/sales[[#This Row],[Units Sold]]</f>
        <v>1.0900000000000003</v>
      </c>
    </row>
    <row r="296" spans="1:17" x14ac:dyDescent="0.25">
      <c r="A296" t="s">
        <v>31</v>
      </c>
      <c r="B296" t="s">
        <v>27</v>
      </c>
      <c r="C296" s="1" t="s">
        <v>41</v>
      </c>
      <c r="D296" s="1" t="s">
        <v>47</v>
      </c>
      <c r="E296">
        <v>410</v>
      </c>
      <c r="F296" s="2">
        <v>260</v>
      </c>
      <c r="G296" s="2">
        <v>12</v>
      </c>
      <c r="H296" s="2">
        <v>4920</v>
      </c>
      <c r="I296" s="2">
        <v>639.6</v>
      </c>
      <c r="J296" s="2">
        <v>4280.3999999999996</v>
      </c>
      <c r="K296" s="2">
        <v>1230</v>
      </c>
      <c r="L296" s="2">
        <v>3050.3999999999996</v>
      </c>
      <c r="M296" s="3">
        <v>41913</v>
      </c>
      <c r="N296" s="4">
        <v>10</v>
      </c>
      <c r="O296" s="1" t="s">
        <v>40</v>
      </c>
      <c r="P296" s="5" t="s">
        <v>22</v>
      </c>
      <c r="Q296" s="2">
        <f>sales[[#This Row],[Profit]]/sales[[#This Row],[Units Sold]]</f>
        <v>7.4399999999999995</v>
      </c>
    </row>
    <row r="297" spans="1:17" x14ac:dyDescent="0.25">
      <c r="A297" t="s">
        <v>17</v>
      </c>
      <c r="B297" t="s">
        <v>27</v>
      </c>
      <c r="C297" s="1" t="s">
        <v>19</v>
      </c>
      <c r="D297" s="1" t="s">
        <v>47</v>
      </c>
      <c r="E297">
        <v>2579</v>
      </c>
      <c r="F297" s="2">
        <v>3</v>
      </c>
      <c r="G297" s="2">
        <v>20</v>
      </c>
      <c r="H297" s="2">
        <v>51580</v>
      </c>
      <c r="I297" s="2">
        <v>7221.2</v>
      </c>
      <c r="J297" s="2">
        <v>44358.8</v>
      </c>
      <c r="K297" s="2">
        <v>25790</v>
      </c>
      <c r="L297" s="2">
        <v>18568.800000000003</v>
      </c>
      <c r="M297" s="3">
        <v>41730</v>
      </c>
      <c r="N297" s="4">
        <v>4</v>
      </c>
      <c r="O297" s="1" t="s">
        <v>42</v>
      </c>
      <c r="P297" s="5" t="s">
        <v>22</v>
      </c>
      <c r="Q297" s="2">
        <f>sales[[#This Row],[Profit]]/sales[[#This Row],[Units Sold]]</f>
        <v>7.2000000000000011</v>
      </c>
    </row>
    <row r="298" spans="1:17" x14ac:dyDescent="0.25">
      <c r="A298" t="s">
        <v>17</v>
      </c>
      <c r="B298" t="s">
        <v>37</v>
      </c>
      <c r="C298" s="1" t="s">
        <v>19</v>
      </c>
      <c r="D298" s="1" t="s">
        <v>47</v>
      </c>
      <c r="E298">
        <v>1743</v>
      </c>
      <c r="F298" s="2">
        <v>3</v>
      </c>
      <c r="G298" s="2">
        <v>20</v>
      </c>
      <c r="H298" s="2">
        <v>34860</v>
      </c>
      <c r="I298" s="2">
        <v>4880.3999999999996</v>
      </c>
      <c r="J298" s="2">
        <v>29979.599999999999</v>
      </c>
      <c r="K298" s="2">
        <v>17430</v>
      </c>
      <c r="L298" s="2">
        <v>12549.599999999999</v>
      </c>
      <c r="M298" s="3">
        <v>41760</v>
      </c>
      <c r="N298" s="4">
        <v>5</v>
      </c>
      <c r="O298" s="1" t="s">
        <v>44</v>
      </c>
      <c r="P298" s="5" t="s">
        <v>22</v>
      </c>
      <c r="Q298" s="2">
        <f>sales[[#This Row],[Profit]]/sales[[#This Row],[Units Sold]]</f>
        <v>7.1999999999999993</v>
      </c>
    </row>
    <row r="299" spans="1:17" x14ac:dyDescent="0.25">
      <c r="A299" t="s">
        <v>17</v>
      </c>
      <c r="B299" t="s">
        <v>23</v>
      </c>
      <c r="C299" s="1" t="s">
        <v>19</v>
      </c>
      <c r="D299" s="1" t="s">
        <v>47</v>
      </c>
      <c r="E299">
        <v>280</v>
      </c>
      <c r="F299" s="2">
        <v>3</v>
      </c>
      <c r="G299" s="2">
        <v>7</v>
      </c>
      <c r="H299" s="2">
        <v>1960</v>
      </c>
      <c r="I299" s="2">
        <v>274.39999999999998</v>
      </c>
      <c r="J299" s="2">
        <v>1685.6</v>
      </c>
      <c r="K299" s="2">
        <v>1400</v>
      </c>
      <c r="L299" s="2">
        <v>285.59999999999991</v>
      </c>
      <c r="M299" s="3">
        <v>41974</v>
      </c>
      <c r="N299" s="4">
        <v>12</v>
      </c>
      <c r="O299" s="1" t="s">
        <v>28</v>
      </c>
      <c r="P299" s="5" t="s">
        <v>22</v>
      </c>
      <c r="Q299" s="2">
        <f>sales[[#This Row],[Profit]]/sales[[#This Row],[Units Sold]]</f>
        <v>1.0199999999999996</v>
      </c>
    </row>
    <row r="300" spans="1:17" x14ac:dyDescent="0.25">
      <c r="A300" t="s">
        <v>17</v>
      </c>
      <c r="B300" t="s">
        <v>25</v>
      </c>
      <c r="C300" s="1" t="s">
        <v>29</v>
      </c>
      <c r="D300" s="1" t="s">
        <v>47</v>
      </c>
      <c r="E300">
        <v>293</v>
      </c>
      <c r="F300" s="2">
        <v>5</v>
      </c>
      <c r="G300" s="2">
        <v>7</v>
      </c>
      <c r="H300" s="2">
        <v>2051</v>
      </c>
      <c r="I300" s="2">
        <v>287.14</v>
      </c>
      <c r="J300" s="2">
        <v>1763.8600000000001</v>
      </c>
      <c r="K300" s="2">
        <v>1465</v>
      </c>
      <c r="L300" s="2">
        <v>298.86000000000013</v>
      </c>
      <c r="M300" s="3">
        <v>41671</v>
      </c>
      <c r="N300" s="4">
        <v>2</v>
      </c>
      <c r="O300" s="1" t="s">
        <v>39</v>
      </c>
      <c r="P300" s="5" t="s">
        <v>22</v>
      </c>
      <c r="Q300" s="2">
        <f>sales[[#This Row],[Profit]]/sales[[#This Row],[Units Sold]]</f>
        <v>1.0200000000000005</v>
      </c>
    </row>
    <row r="301" spans="1:17" x14ac:dyDescent="0.25">
      <c r="A301" t="s">
        <v>24</v>
      </c>
      <c r="B301" t="s">
        <v>23</v>
      </c>
      <c r="C301" s="1" t="s">
        <v>38</v>
      </c>
      <c r="D301" s="1" t="s">
        <v>47</v>
      </c>
      <c r="E301">
        <v>278</v>
      </c>
      <c r="F301" s="2">
        <v>10</v>
      </c>
      <c r="G301" s="2">
        <v>15</v>
      </c>
      <c r="H301" s="2">
        <v>4170</v>
      </c>
      <c r="I301" s="2">
        <v>583.79999999999995</v>
      </c>
      <c r="J301" s="2">
        <v>3586.2</v>
      </c>
      <c r="K301" s="2">
        <v>2780</v>
      </c>
      <c r="L301" s="2">
        <v>806.19999999999982</v>
      </c>
      <c r="M301" s="3">
        <v>41671</v>
      </c>
      <c r="N301" s="4">
        <v>2</v>
      </c>
      <c r="O301" s="1" t="s">
        <v>39</v>
      </c>
      <c r="P301" s="5" t="s">
        <v>22</v>
      </c>
      <c r="Q301" s="2">
        <f>sales[[#This Row],[Profit]]/sales[[#This Row],[Units Sold]]</f>
        <v>2.8999999999999995</v>
      </c>
    </row>
    <row r="302" spans="1:17" x14ac:dyDescent="0.25">
      <c r="A302" t="s">
        <v>17</v>
      </c>
      <c r="B302" t="s">
        <v>18</v>
      </c>
      <c r="C302" s="1" t="s">
        <v>38</v>
      </c>
      <c r="D302" s="1" t="s">
        <v>47</v>
      </c>
      <c r="E302">
        <v>2428</v>
      </c>
      <c r="F302" s="2">
        <v>10</v>
      </c>
      <c r="G302" s="2">
        <v>20</v>
      </c>
      <c r="H302" s="2">
        <v>48560</v>
      </c>
      <c r="I302" s="2">
        <v>6798.4</v>
      </c>
      <c r="J302" s="2">
        <v>41761.599999999999</v>
      </c>
      <c r="K302" s="2">
        <v>24280</v>
      </c>
      <c r="L302" s="2">
        <v>17481.599999999999</v>
      </c>
      <c r="M302" s="3">
        <v>41699</v>
      </c>
      <c r="N302" s="4">
        <v>3</v>
      </c>
      <c r="O302" s="1" t="s">
        <v>30</v>
      </c>
      <c r="P302" s="5" t="s">
        <v>22</v>
      </c>
      <c r="Q302" s="2">
        <f>sales[[#This Row],[Profit]]/sales[[#This Row],[Units Sold]]</f>
        <v>7.1999999999999993</v>
      </c>
    </row>
    <row r="303" spans="1:17" x14ac:dyDescent="0.25">
      <c r="A303" t="s">
        <v>24</v>
      </c>
      <c r="B303" t="s">
        <v>37</v>
      </c>
      <c r="C303" s="1" t="s">
        <v>38</v>
      </c>
      <c r="D303" s="1" t="s">
        <v>47</v>
      </c>
      <c r="E303">
        <v>1767</v>
      </c>
      <c r="F303" s="2">
        <v>10</v>
      </c>
      <c r="G303" s="2">
        <v>15</v>
      </c>
      <c r="H303" s="2">
        <v>26505</v>
      </c>
      <c r="I303" s="2">
        <v>3710.7</v>
      </c>
      <c r="J303" s="2">
        <v>22794.3</v>
      </c>
      <c r="K303" s="2">
        <v>17670</v>
      </c>
      <c r="L303" s="2">
        <v>5124.2999999999993</v>
      </c>
      <c r="M303" s="3">
        <v>41883</v>
      </c>
      <c r="N303" s="4">
        <v>9</v>
      </c>
      <c r="O303" s="1" t="s">
        <v>36</v>
      </c>
      <c r="P303" s="5" t="s">
        <v>22</v>
      </c>
      <c r="Q303" s="2">
        <f>sales[[#This Row],[Profit]]/sales[[#This Row],[Units Sold]]</f>
        <v>2.8999999999999995</v>
      </c>
    </row>
    <row r="304" spans="1:17" x14ac:dyDescent="0.25">
      <c r="A304" t="s">
        <v>31</v>
      </c>
      <c r="B304" t="s">
        <v>25</v>
      </c>
      <c r="C304" s="1" t="s">
        <v>38</v>
      </c>
      <c r="D304" s="1" t="s">
        <v>47</v>
      </c>
      <c r="E304">
        <v>1393</v>
      </c>
      <c r="F304" s="2">
        <v>10</v>
      </c>
      <c r="G304" s="2">
        <v>12</v>
      </c>
      <c r="H304" s="2">
        <v>16716</v>
      </c>
      <c r="I304" s="2">
        <v>2340.2399999999998</v>
      </c>
      <c r="J304" s="2">
        <v>14375.76</v>
      </c>
      <c r="K304" s="2">
        <v>4179</v>
      </c>
      <c r="L304" s="2">
        <v>10196.76</v>
      </c>
      <c r="M304" s="3">
        <v>41913</v>
      </c>
      <c r="N304" s="4">
        <v>10</v>
      </c>
      <c r="O304" s="1" t="s">
        <v>40</v>
      </c>
      <c r="P304" s="5" t="s">
        <v>22</v>
      </c>
      <c r="Q304" s="2">
        <f>sales[[#This Row],[Profit]]/sales[[#This Row],[Units Sold]]</f>
        <v>7.32</v>
      </c>
    </row>
    <row r="305" spans="1:17" x14ac:dyDescent="0.25">
      <c r="A305" t="s">
        <v>31</v>
      </c>
      <c r="B305" t="s">
        <v>25</v>
      </c>
      <c r="C305" s="1" t="s">
        <v>41</v>
      </c>
      <c r="D305" s="1" t="s">
        <v>47</v>
      </c>
      <c r="E305">
        <v>1393</v>
      </c>
      <c r="F305" s="2">
        <v>260</v>
      </c>
      <c r="G305" s="2">
        <v>12</v>
      </c>
      <c r="H305" s="2">
        <v>16716</v>
      </c>
      <c r="I305" s="2">
        <v>2340.2399999999998</v>
      </c>
      <c r="J305" s="2">
        <v>14375.76</v>
      </c>
      <c r="K305" s="2">
        <v>4179</v>
      </c>
      <c r="L305" s="2">
        <v>10196.76</v>
      </c>
      <c r="M305" s="3">
        <v>41913</v>
      </c>
      <c r="N305" s="4">
        <v>10</v>
      </c>
      <c r="O305" s="1" t="s">
        <v>40</v>
      </c>
      <c r="P305" s="5" t="s">
        <v>22</v>
      </c>
      <c r="Q305" s="2">
        <f>sales[[#This Row],[Profit]]/sales[[#This Row],[Units Sold]]</f>
        <v>7.32</v>
      </c>
    </row>
    <row r="306" spans="1:17" x14ac:dyDescent="0.25">
      <c r="A306" t="s">
        <v>34</v>
      </c>
      <c r="B306" t="s">
        <v>27</v>
      </c>
      <c r="C306" s="1" t="s">
        <v>19</v>
      </c>
      <c r="D306" s="1" t="s">
        <v>47</v>
      </c>
      <c r="E306">
        <v>801</v>
      </c>
      <c r="F306" s="2">
        <v>3</v>
      </c>
      <c r="G306" s="2">
        <v>300</v>
      </c>
      <c r="H306" s="2">
        <v>240300</v>
      </c>
      <c r="I306" s="2">
        <v>33642</v>
      </c>
      <c r="J306" s="2">
        <v>206658</v>
      </c>
      <c r="K306" s="2">
        <v>200250</v>
      </c>
      <c r="L306" s="2">
        <v>6408</v>
      </c>
      <c r="M306" s="3">
        <v>41821</v>
      </c>
      <c r="N306" s="4">
        <v>7</v>
      </c>
      <c r="O306" s="1" t="s">
        <v>33</v>
      </c>
      <c r="P306" s="5" t="s">
        <v>22</v>
      </c>
      <c r="Q306" s="2">
        <f>sales[[#This Row],[Profit]]/sales[[#This Row],[Units Sold]]</f>
        <v>8</v>
      </c>
    </row>
    <row r="307" spans="1:17" x14ac:dyDescent="0.25">
      <c r="A307" t="s">
        <v>34</v>
      </c>
      <c r="B307" t="s">
        <v>18</v>
      </c>
      <c r="C307" s="1" t="s">
        <v>19</v>
      </c>
      <c r="D307" s="1" t="s">
        <v>47</v>
      </c>
      <c r="E307">
        <v>1496</v>
      </c>
      <c r="F307" s="2">
        <v>3</v>
      </c>
      <c r="G307" s="2">
        <v>300</v>
      </c>
      <c r="H307" s="2">
        <v>448800</v>
      </c>
      <c r="I307" s="2">
        <v>62832</v>
      </c>
      <c r="J307" s="2">
        <v>385968</v>
      </c>
      <c r="K307" s="2">
        <v>374000</v>
      </c>
      <c r="L307" s="2">
        <v>11968</v>
      </c>
      <c r="M307" s="3">
        <v>41913</v>
      </c>
      <c r="N307" s="4">
        <v>10</v>
      </c>
      <c r="O307" s="1" t="s">
        <v>40</v>
      </c>
      <c r="P307" s="5" t="s">
        <v>22</v>
      </c>
      <c r="Q307" s="2">
        <f>sales[[#This Row],[Profit]]/sales[[#This Row],[Units Sold]]</f>
        <v>8</v>
      </c>
    </row>
    <row r="308" spans="1:17" x14ac:dyDescent="0.25">
      <c r="A308" t="s">
        <v>34</v>
      </c>
      <c r="B308" t="s">
        <v>37</v>
      </c>
      <c r="C308" s="1" t="s">
        <v>19</v>
      </c>
      <c r="D308" s="1" t="s">
        <v>47</v>
      </c>
      <c r="E308">
        <v>1010</v>
      </c>
      <c r="F308" s="2">
        <v>3</v>
      </c>
      <c r="G308" s="2">
        <v>300</v>
      </c>
      <c r="H308" s="2">
        <v>303000</v>
      </c>
      <c r="I308" s="2">
        <v>42420</v>
      </c>
      <c r="J308" s="2">
        <v>260580</v>
      </c>
      <c r="K308" s="2">
        <v>252500</v>
      </c>
      <c r="L308" s="2">
        <v>8080</v>
      </c>
      <c r="M308" s="3">
        <v>41913</v>
      </c>
      <c r="N308" s="4">
        <v>10</v>
      </c>
      <c r="O308" s="1" t="s">
        <v>40</v>
      </c>
      <c r="P308" s="5" t="s">
        <v>22</v>
      </c>
      <c r="Q308" s="2">
        <f>sales[[#This Row],[Profit]]/sales[[#This Row],[Units Sold]]</f>
        <v>8</v>
      </c>
    </row>
    <row r="309" spans="1:17" x14ac:dyDescent="0.25">
      <c r="A309" t="s">
        <v>24</v>
      </c>
      <c r="B309" t="s">
        <v>23</v>
      </c>
      <c r="C309" s="1" t="s">
        <v>19</v>
      </c>
      <c r="D309" s="1" t="s">
        <v>47</v>
      </c>
      <c r="E309">
        <v>1513</v>
      </c>
      <c r="F309" s="2">
        <v>3</v>
      </c>
      <c r="G309" s="2">
        <v>15</v>
      </c>
      <c r="H309" s="2">
        <v>22695</v>
      </c>
      <c r="I309" s="2">
        <v>3177.3</v>
      </c>
      <c r="J309" s="2">
        <v>19517.7</v>
      </c>
      <c r="K309" s="2">
        <v>15130</v>
      </c>
      <c r="L309" s="2">
        <v>4387.7000000000007</v>
      </c>
      <c r="M309" s="3">
        <v>41944</v>
      </c>
      <c r="N309" s="4">
        <v>11</v>
      </c>
      <c r="O309" s="1" t="s">
        <v>45</v>
      </c>
      <c r="P309" s="5" t="s">
        <v>22</v>
      </c>
      <c r="Q309" s="2">
        <f>sales[[#This Row],[Profit]]/sales[[#This Row],[Units Sold]]</f>
        <v>2.9000000000000004</v>
      </c>
    </row>
    <row r="310" spans="1:17" x14ac:dyDescent="0.25">
      <c r="A310" t="s">
        <v>24</v>
      </c>
      <c r="B310" t="s">
        <v>18</v>
      </c>
      <c r="C310" s="1" t="s">
        <v>19</v>
      </c>
      <c r="D310" s="1" t="s">
        <v>47</v>
      </c>
      <c r="E310">
        <v>2300</v>
      </c>
      <c r="F310" s="2">
        <v>3</v>
      </c>
      <c r="G310" s="2">
        <v>15</v>
      </c>
      <c r="H310" s="2">
        <v>34500</v>
      </c>
      <c r="I310" s="2">
        <v>4830</v>
      </c>
      <c r="J310" s="2">
        <v>29670</v>
      </c>
      <c r="K310" s="2">
        <v>23000</v>
      </c>
      <c r="L310" s="2">
        <v>6670</v>
      </c>
      <c r="M310" s="3">
        <v>41974</v>
      </c>
      <c r="N310" s="4">
        <v>12</v>
      </c>
      <c r="O310" s="1" t="s">
        <v>28</v>
      </c>
      <c r="P310" s="5" t="s">
        <v>22</v>
      </c>
      <c r="Q310" s="2">
        <f>sales[[#This Row],[Profit]]/sales[[#This Row],[Units Sold]]</f>
        <v>2.9</v>
      </c>
    </row>
    <row r="311" spans="1:17" x14ac:dyDescent="0.25">
      <c r="A311" t="s">
        <v>17</v>
      </c>
      <c r="B311" t="s">
        <v>18</v>
      </c>
      <c r="C311" s="1" t="s">
        <v>29</v>
      </c>
      <c r="D311" s="1" t="s">
        <v>47</v>
      </c>
      <c r="E311">
        <v>2227.5</v>
      </c>
      <c r="F311" s="2">
        <v>5</v>
      </c>
      <c r="G311" s="2">
        <v>350</v>
      </c>
      <c r="H311" s="2">
        <v>779625</v>
      </c>
      <c r="I311" s="2">
        <v>109147.5</v>
      </c>
      <c r="J311" s="2">
        <v>670477.5</v>
      </c>
      <c r="K311" s="2">
        <v>579150</v>
      </c>
      <c r="L311" s="2">
        <v>91327.5</v>
      </c>
      <c r="M311" s="3">
        <v>41640</v>
      </c>
      <c r="N311" s="4">
        <v>1</v>
      </c>
      <c r="O311" s="1" t="s">
        <v>21</v>
      </c>
      <c r="P311" s="5" t="s">
        <v>22</v>
      </c>
      <c r="Q311" s="2">
        <f>sales[[#This Row],[Profit]]/sales[[#This Row],[Units Sold]]</f>
        <v>41</v>
      </c>
    </row>
    <row r="312" spans="1:17" x14ac:dyDescent="0.25">
      <c r="A312" t="s">
        <v>17</v>
      </c>
      <c r="B312" t="s">
        <v>23</v>
      </c>
      <c r="C312" s="1" t="s">
        <v>29</v>
      </c>
      <c r="D312" s="1" t="s">
        <v>47</v>
      </c>
      <c r="E312">
        <v>1199</v>
      </c>
      <c r="F312" s="2">
        <v>5</v>
      </c>
      <c r="G312" s="2">
        <v>350</v>
      </c>
      <c r="H312" s="2">
        <v>419650</v>
      </c>
      <c r="I312" s="2">
        <v>58751</v>
      </c>
      <c r="J312" s="2">
        <v>360899</v>
      </c>
      <c r="K312" s="2">
        <v>311740</v>
      </c>
      <c r="L312" s="2">
        <v>49159</v>
      </c>
      <c r="M312" s="3">
        <v>41730</v>
      </c>
      <c r="N312" s="4">
        <v>4</v>
      </c>
      <c r="O312" s="1" t="s">
        <v>42</v>
      </c>
      <c r="P312" s="5" t="s">
        <v>22</v>
      </c>
      <c r="Q312" s="2">
        <f>sales[[#This Row],[Profit]]/sales[[#This Row],[Units Sold]]</f>
        <v>41</v>
      </c>
    </row>
    <row r="313" spans="1:17" x14ac:dyDescent="0.25">
      <c r="A313" t="s">
        <v>17</v>
      </c>
      <c r="B313" t="s">
        <v>18</v>
      </c>
      <c r="C313" s="1" t="s">
        <v>29</v>
      </c>
      <c r="D313" s="1" t="s">
        <v>47</v>
      </c>
      <c r="E313">
        <v>200</v>
      </c>
      <c r="F313" s="2">
        <v>5</v>
      </c>
      <c r="G313" s="2">
        <v>350</v>
      </c>
      <c r="H313" s="2">
        <v>70000</v>
      </c>
      <c r="I313" s="2">
        <v>9800</v>
      </c>
      <c r="J313" s="2">
        <v>60200</v>
      </c>
      <c r="K313" s="2">
        <v>52000</v>
      </c>
      <c r="L313" s="2">
        <v>8200</v>
      </c>
      <c r="M313" s="3">
        <v>41760</v>
      </c>
      <c r="N313" s="4">
        <v>5</v>
      </c>
      <c r="O313" s="1" t="s">
        <v>44</v>
      </c>
      <c r="P313" s="5" t="s">
        <v>22</v>
      </c>
      <c r="Q313" s="2">
        <f>sales[[#This Row],[Profit]]/sales[[#This Row],[Units Sold]]</f>
        <v>41</v>
      </c>
    </row>
    <row r="314" spans="1:17" x14ac:dyDescent="0.25">
      <c r="A314" t="s">
        <v>17</v>
      </c>
      <c r="B314" t="s">
        <v>18</v>
      </c>
      <c r="C314" s="1" t="s">
        <v>29</v>
      </c>
      <c r="D314" s="1" t="s">
        <v>47</v>
      </c>
      <c r="E314">
        <v>388</v>
      </c>
      <c r="F314" s="2">
        <v>5</v>
      </c>
      <c r="G314" s="2">
        <v>7</v>
      </c>
      <c r="H314" s="2">
        <v>2716</v>
      </c>
      <c r="I314" s="2">
        <v>380.24</v>
      </c>
      <c r="J314" s="2">
        <v>2335.7600000000002</v>
      </c>
      <c r="K314" s="2">
        <v>1940</v>
      </c>
      <c r="L314" s="2">
        <v>395.76000000000022</v>
      </c>
      <c r="M314" s="3">
        <v>41883</v>
      </c>
      <c r="N314" s="4">
        <v>9</v>
      </c>
      <c r="O314" s="1" t="s">
        <v>36</v>
      </c>
      <c r="P314" s="5" t="s">
        <v>22</v>
      </c>
      <c r="Q314" s="2">
        <f>sales[[#This Row],[Profit]]/sales[[#This Row],[Units Sold]]</f>
        <v>1.0200000000000005</v>
      </c>
    </row>
    <row r="315" spans="1:17" x14ac:dyDescent="0.25">
      <c r="A315" t="s">
        <v>24</v>
      </c>
      <c r="B315" t="s">
        <v>18</v>
      </c>
      <c r="C315" s="1" t="s">
        <v>29</v>
      </c>
      <c r="D315" s="1" t="s">
        <v>47</v>
      </c>
      <c r="E315">
        <v>2300</v>
      </c>
      <c r="F315" s="2">
        <v>5</v>
      </c>
      <c r="G315" s="2">
        <v>15</v>
      </c>
      <c r="H315" s="2">
        <v>34500</v>
      </c>
      <c r="I315" s="2">
        <v>4830</v>
      </c>
      <c r="J315" s="2">
        <v>29670</v>
      </c>
      <c r="K315" s="2">
        <v>23000</v>
      </c>
      <c r="L315" s="2">
        <v>6670</v>
      </c>
      <c r="M315" s="3">
        <v>41974</v>
      </c>
      <c r="N315" s="4">
        <v>12</v>
      </c>
      <c r="O315" s="1" t="s">
        <v>28</v>
      </c>
      <c r="P315" s="5" t="s">
        <v>22</v>
      </c>
      <c r="Q315" s="2">
        <f>sales[[#This Row],[Profit]]/sales[[#This Row],[Units Sold]]</f>
        <v>2.9</v>
      </c>
    </row>
    <row r="316" spans="1:17" x14ac:dyDescent="0.25">
      <c r="A316" t="s">
        <v>17</v>
      </c>
      <c r="B316" t="s">
        <v>27</v>
      </c>
      <c r="C316" s="1" t="s">
        <v>38</v>
      </c>
      <c r="D316" s="1" t="s">
        <v>47</v>
      </c>
      <c r="E316">
        <v>260</v>
      </c>
      <c r="F316" s="2">
        <v>10</v>
      </c>
      <c r="G316" s="2">
        <v>20</v>
      </c>
      <c r="H316" s="2">
        <v>5200</v>
      </c>
      <c r="I316" s="2">
        <v>728</v>
      </c>
      <c r="J316" s="2">
        <v>4472</v>
      </c>
      <c r="K316" s="2">
        <v>2600</v>
      </c>
      <c r="L316" s="2">
        <v>1872</v>
      </c>
      <c r="M316" s="3">
        <v>41671</v>
      </c>
      <c r="N316" s="4">
        <v>2</v>
      </c>
      <c r="O316" s="1" t="s">
        <v>39</v>
      </c>
      <c r="P316" s="5" t="s">
        <v>22</v>
      </c>
      <c r="Q316" s="2">
        <f>sales[[#This Row],[Profit]]/sales[[#This Row],[Units Sold]]</f>
        <v>7.2</v>
      </c>
    </row>
    <row r="317" spans="1:17" x14ac:dyDescent="0.25">
      <c r="A317" t="s">
        <v>31</v>
      </c>
      <c r="B317" t="s">
        <v>37</v>
      </c>
      <c r="C317" s="1" t="s">
        <v>38</v>
      </c>
      <c r="D317" s="1" t="s">
        <v>47</v>
      </c>
      <c r="E317">
        <v>2914</v>
      </c>
      <c r="F317" s="2">
        <v>10</v>
      </c>
      <c r="G317" s="2">
        <v>12</v>
      </c>
      <c r="H317" s="2">
        <v>34968</v>
      </c>
      <c r="I317" s="2">
        <v>4895.5200000000004</v>
      </c>
      <c r="J317" s="2">
        <v>30072.48</v>
      </c>
      <c r="K317" s="2">
        <v>8742</v>
      </c>
      <c r="L317" s="2">
        <v>21330.48</v>
      </c>
      <c r="M317" s="3">
        <v>41913</v>
      </c>
      <c r="N317" s="4">
        <v>10</v>
      </c>
      <c r="O317" s="1" t="s">
        <v>40</v>
      </c>
      <c r="P317" s="5" t="s">
        <v>22</v>
      </c>
      <c r="Q317" s="2">
        <f>sales[[#This Row],[Profit]]/sales[[#This Row],[Units Sold]]</f>
        <v>7.32</v>
      </c>
    </row>
    <row r="318" spans="1:17" x14ac:dyDescent="0.25">
      <c r="A318" t="s">
        <v>17</v>
      </c>
      <c r="B318" t="s">
        <v>25</v>
      </c>
      <c r="C318" s="1" t="s">
        <v>38</v>
      </c>
      <c r="D318" s="1" t="s">
        <v>47</v>
      </c>
      <c r="E318">
        <v>1731</v>
      </c>
      <c r="F318" s="2">
        <v>10</v>
      </c>
      <c r="G318" s="2">
        <v>7</v>
      </c>
      <c r="H318" s="2">
        <v>12117</v>
      </c>
      <c r="I318" s="2">
        <v>1696.38</v>
      </c>
      <c r="J318" s="2">
        <v>10420.619999999999</v>
      </c>
      <c r="K318" s="2">
        <v>8655</v>
      </c>
      <c r="L318" s="2">
        <v>1765.619999999999</v>
      </c>
      <c r="M318" s="3">
        <v>41913</v>
      </c>
      <c r="N318" s="4">
        <v>10</v>
      </c>
      <c r="O318" s="1" t="s">
        <v>40</v>
      </c>
      <c r="P318" s="5" t="s">
        <v>22</v>
      </c>
      <c r="Q318" s="2">
        <f>sales[[#This Row],[Profit]]/sales[[#This Row],[Units Sold]]</f>
        <v>1.0199999999999994</v>
      </c>
    </row>
    <row r="319" spans="1:17" x14ac:dyDescent="0.25">
      <c r="A319" t="s">
        <v>17</v>
      </c>
      <c r="B319" t="s">
        <v>18</v>
      </c>
      <c r="C319" s="1" t="s">
        <v>38</v>
      </c>
      <c r="D319" s="1" t="s">
        <v>47</v>
      </c>
      <c r="E319">
        <v>700</v>
      </c>
      <c r="F319" s="2">
        <v>10</v>
      </c>
      <c r="G319" s="2">
        <v>350</v>
      </c>
      <c r="H319" s="2">
        <v>245000</v>
      </c>
      <c r="I319" s="2">
        <v>34300</v>
      </c>
      <c r="J319" s="2">
        <v>210700</v>
      </c>
      <c r="K319" s="2">
        <v>182000</v>
      </c>
      <c r="L319" s="2">
        <v>28700</v>
      </c>
      <c r="M319" s="3">
        <v>41944</v>
      </c>
      <c r="N319" s="4">
        <v>11</v>
      </c>
      <c r="O319" s="1" t="s">
        <v>45</v>
      </c>
      <c r="P319" s="5" t="s">
        <v>22</v>
      </c>
      <c r="Q319" s="2">
        <f>sales[[#This Row],[Profit]]/sales[[#This Row],[Units Sold]]</f>
        <v>41</v>
      </c>
    </row>
    <row r="320" spans="1:17" x14ac:dyDescent="0.25">
      <c r="A320" t="s">
        <v>17</v>
      </c>
      <c r="B320" t="s">
        <v>37</v>
      </c>
      <c r="C320" s="1" t="s">
        <v>38</v>
      </c>
      <c r="D320" s="1" t="s">
        <v>47</v>
      </c>
      <c r="E320">
        <v>1177</v>
      </c>
      <c r="F320" s="2">
        <v>10</v>
      </c>
      <c r="G320" s="2">
        <v>350</v>
      </c>
      <c r="H320" s="2">
        <v>411950</v>
      </c>
      <c r="I320" s="2">
        <v>57673</v>
      </c>
      <c r="J320" s="2">
        <v>354277</v>
      </c>
      <c r="K320" s="2">
        <v>306020</v>
      </c>
      <c r="L320" s="2">
        <v>48257</v>
      </c>
      <c r="M320" s="3">
        <v>41944</v>
      </c>
      <c r="N320" s="4">
        <v>11</v>
      </c>
      <c r="O320" s="1" t="s">
        <v>45</v>
      </c>
      <c r="P320" s="5" t="s">
        <v>22</v>
      </c>
      <c r="Q320" s="2">
        <f>sales[[#This Row],[Profit]]/sales[[#This Row],[Units Sold]]</f>
        <v>41</v>
      </c>
    </row>
    <row r="321" spans="1:17" x14ac:dyDescent="0.25">
      <c r="A321" t="s">
        <v>34</v>
      </c>
      <c r="B321" t="s">
        <v>18</v>
      </c>
      <c r="C321" s="1" t="s">
        <v>41</v>
      </c>
      <c r="D321" s="1" t="s">
        <v>47</v>
      </c>
      <c r="E321">
        <v>888</v>
      </c>
      <c r="F321" s="2">
        <v>260</v>
      </c>
      <c r="G321" s="2">
        <v>300</v>
      </c>
      <c r="H321" s="2">
        <v>266400</v>
      </c>
      <c r="I321" s="2">
        <v>37296</v>
      </c>
      <c r="J321" s="2">
        <v>229104</v>
      </c>
      <c r="K321" s="2">
        <v>222000</v>
      </c>
      <c r="L321" s="2">
        <v>7104</v>
      </c>
      <c r="M321" s="3">
        <v>41699</v>
      </c>
      <c r="N321" s="4">
        <v>3</v>
      </c>
      <c r="O321" s="1" t="s">
        <v>30</v>
      </c>
      <c r="P321" s="5" t="s">
        <v>22</v>
      </c>
      <c r="Q321" s="2">
        <f>sales[[#This Row],[Profit]]/sales[[#This Row],[Units Sold]]</f>
        <v>8</v>
      </c>
    </row>
    <row r="322" spans="1:17" x14ac:dyDescent="0.25">
      <c r="A322" t="s">
        <v>31</v>
      </c>
      <c r="B322" t="s">
        <v>25</v>
      </c>
      <c r="C322" s="1" t="s">
        <v>41</v>
      </c>
      <c r="D322" s="1" t="s">
        <v>47</v>
      </c>
      <c r="E322">
        <v>2475</v>
      </c>
      <c r="F322" s="2">
        <v>260</v>
      </c>
      <c r="G322" s="2">
        <v>12</v>
      </c>
      <c r="H322" s="2">
        <v>29700</v>
      </c>
      <c r="I322" s="2">
        <v>4158</v>
      </c>
      <c r="J322" s="2">
        <v>25542</v>
      </c>
      <c r="K322" s="2">
        <v>7425</v>
      </c>
      <c r="L322" s="2">
        <v>18117</v>
      </c>
      <c r="M322" s="3">
        <v>41852</v>
      </c>
      <c r="N322" s="4">
        <v>8</v>
      </c>
      <c r="O322" s="1" t="s">
        <v>35</v>
      </c>
      <c r="P322" s="5" t="s">
        <v>22</v>
      </c>
      <c r="Q322" s="2">
        <f>sales[[#This Row],[Profit]]/sales[[#This Row],[Units Sold]]</f>
        <v>7.32</v>
      </c>
    </row>
    <row r="323" spans="1:17" x14ac:dyDescent="0.25">
      <c r="A323" t="s">
        <v>31</v>
      </c>
      <c r="B323" t="s">
        <v>37</v>
      </c>
      <c r="C323" s="1" t="s">
        <v>41</v>
      </c>
      <c r="D323" s="1" t="s">
        <v>47</v>
      </c>
      <c r="E323">
        <v>2914</v>
      </c>
      <c r="F323" s="2">
        <v>260</v>
      </c>
      <c r="G323" s="2">
        <v>12</v>
      </c>
      <c r="H323" s="2">
        <v>34968</v>
      </c>
      <c r="I323" s="2">
        <v>4895.5200000000004</v>
      </c>
      <c r="J323" s="2">
        <v>30072.48</v>
      </c>
      <c r="K323" s="2">
        <v>8742</v>
      </c>
      <c r="L323" s="2">
        <v>21330.48</v>
      </c>
      <c r="M323" s="3">
        <v>41913</v>
      </c>
      <c r="N323" s="4">
        <v>10</v>
      </c>
      <c r="O323" s="1" t="s">
        <v>40</v>
      </c>
      <c r="P323" s="5" t="s">
        <v>22</v>
      </c>
      <c r="Q323" s="2">
        <f>sales[[#This Row],[Profit]]/sales[[#This Row],[Units Sold]]</f>
        <v>7.32</v>
      </c>
    </row>
    <row r="324" spans="1:17" x14ac:dyDescent="0.25">
      <c r="A324" t="s">
        <v>17</v>
      </c>
      <c r="B324" t="s">
        <v>25</v>
      </c>
      <c r="C324" s="1" t="s">
        <v>41</v>
      </c>
      <c r="D324" s="1" t="s">
        <v>47</v>
      </c>
      <c r="E324">
        <v>1731</v>
      </c>
      <c r="F324" s="2">
        <v>260</v>
      </c>
      <c r="G324" s="2">
        <v>7</v>
      </c>
      <c r="H324" s="2">
        <v>12117</v>
      </c>
      <c r="I324" s="2">
        <v>1696.38</v>
      </c>
      <c r="J324" s="2">
        <v>10420.619999999999</v>
      </c>
      <c r="K324" s="2">
        <v>8655</v>
      </c>
      <c r="L324" s="2">
        <v>1765.619999999999</v>
      </c>
      <c r="M324" s="3">
        <v>41913</v>
      </c>
      <c r="N324" s="4">
        <v>10</v>
      </c>
      <c r="O324" s="1" t="s">
        <v>40</v>
      </c>
      <c r="P324" s="5" t="s">
        <v>22</v>
      </c>
      <c r="Q324" s="2">
        <f>sales[[#This Row],[Profit]]/sales[[#This Row],[Units Sold]]</f>
        <v>1.0199999999999994</v>
      </c>
    </row>
    <row r="325" spans="1:17" x14ac:dyDescent="0.25">
      <c r="A325" t="s">
        <v>34</v>
      </c>
      <c r="B325" t="s">
        <v>27</v>
      </c>
      <c r="C325" s="1" t="s">
        <v>29</v>
      </c>
      <c r="D325" s="1" t="s">
        <v>47</v>
      </c>
      <c r="E325">
        <v>546</v>
      </c>
      <c r="F325" s="2">
        <v>5</v>
      </c>
      <c r="G325" s="2">
        <v>300</v>
      </c>
      <c r="H325" s="2">
        <v>163800</v>
      </c>
      <c r="I325" s="2">
        <v>24570</v>
      </c>
      <c r="J325" s="2">
        <v>139230</v>
      </c>
      <c r="K325" s="2">
        <v>136500</v>
      </c>
      <c r="L325" s="2">
        <v>2730</v>
      </c>
      <c r="M325" s="3">
        <v>41913</v>
      </c>
      <c r="N325" s="4">
        <v>10</v>
      </c>
      <c r="O325" s="1" t="s">
        <v>40</v>
      </c>
      <c r="P325" s="5" t="s">
        <v>22</v>
      </c>
      <c r="Q325" s="2">
        <f>sales[[#This Row],[Profit]]/sales[[#This Row],[Units Sold]]</f>
        <v>5</v>
      </c>
    </row>
    <row r="326" spans="1:17" x14ac:dyDescent="0.25">
      <c r="A326" t="s">
        <v>17</v>
      </c>
      <c r="B326" t="s">
        <v>23</v>
      </c>
      <c r="C326" s="1" t="s">
        <v>38</v>
      </c>
      <c r="D326" s="1" t="s">
        <v>47</v>
      </c>
      <c r="E326">
        <v>1158</v>
      </c>
      <c r="F326" s="2">
        <v>10</v>
      </c>
      <c r="G326" s="2">
        <v>20</v>
      </c>
      <c r="H326" s="2">
        <v>23160</v>
      </c>
      <c r="I326" s="2">
        <v>3474</v>
      </c>
      <c r="J326" s="2">
        <v>19686</v>
      </c>
      <c r="K326" s="2">
        <v>11580</v>
      </c>
      <c r="L326" s="2">
        <v>8106</v>
      </c>
      <c r="M326" s="3">
        <v>41699</v>
      </c>
      <c r="N326" s="4">
        <v>3</v>
      </c>
      <c r="O326" s="1" t="s">
        <v>30</v>
      </c>
      <c r="P326" s="5" t="s">
        <v>22</v>
      </c>
      <c r="Q326" s="2">
        <f>sales[[#This Row],[Profit]]/sales[[#This Row],[Units Sold]]</f>
        <v>7</v>
      </c>
    </row>
    <row r="327" spans="1:17" x14ac:dyDescent="0.25">
      <c r="A327" t="s">
        <v>24</v>
      </c>
      <c r="B327" t="s">
        <v>18</v>
      </c>
      <c r="C327" s="1" t="s">
        <v>38</v>
      </c>
      <c r="D327" s="1" t="s">
        <v>47</v>
      </c>
      <c r="E327">
        <v>2559</v>
      </c>
      <c r="F327" s="2">
        <v>10</v>
      </c>
      <c r="G327" s="2">
        <v>15</v>
      </c>
      <c r="H327" s="2">
        <f>sales[[#This Row],[Sale Price]]*sales[[#This Row],[Units Sold]]</f>
        <v>38385</v>
      </c>
      <c r="I327" s="2">
        <v>5757.75</v>
      </c>
      <c r="J327" s="2">
        <f>sales[[#This Row],[Gross Sales]]-sales[[#This Row],[Discounts]]</f>
        <v>32627.25</v>
      </c>
      <c r="K327" s="2">
        <v>25590</v>
      </c>
      <c r="L327" s="2">
        <f>sales[[#This Row],[ Sales]]-sales[[#This Row],[COGS]]</f>
        <v>7037.25</v>
      </c>
      <c r="M327" s="3">
        <v>41730</v>
      </c>
      <c r="N327" s="4">
        <v>4</v>
      </c>
      <c r="O327" s="1" t="s">
        <v>42</v>
      </c>
      <c r="P327" s="5" t="s">
        <v>22</v>
      </c>
      <c r="Q327" s="2">
        <f>sales[[#This Row],[Profit]]/sales[[#This Row],[Units Sold]]</f>
        <v>2.75</v>
      </c>
    </row>
    <row r="328" spans="1:17" x14ac:dyDescent="0.25">
      <c r="A328" t="s">
        <v>17</v>
      </c>
      <c r="B328" t="s">
        <v>27</v>
      </c>
      <c r="C328" s="1" t="s">
        <v>38</v>
      </c>
      <c r="D328" s="1" t="s">
        <v>47</v>
      </c>
      <c r="E328">
        <v>2535</v>
      </c>
      <c r="F328" s="2">
        <v>10</v>
      </c>
      <c r="G328" s="2">
        <v>7</v>
      </c>
      <c r="H328" s="2">
        <v>17745</v>
      </c>
      <c r="I328" s="2">
        <v>2661.75</v>
      </c>
      <c r="J328" s="2">
        <v>15083.25</v>
      </c>
      <c r="K328" s="2">
        <v>12675</v>
      </c>
      <c r="L328" s="2">
        <v>2408.25</v>
      </c>
      <c r="M328" s="3">
        <v>41730</v>
      </c>
      <c r="N328" s="4">
        <v>4</v>
      </c>
      <c r="O328" s="1" t="s">
        <v>42</v>
      </c>
      <c r="P328" s="5" t="s">
        <v>22</v>
      </c>
      <c r="Q328" s="2">
        <f>sales[[#This Row],[Profit]]/sales[[#This Row],[Units Sold]]</f>
        <v>0.95</v>
      </c>
    </row>
    <row r="329" spans="1:17" x14ac:dyDescent="0.25">
      <c r="A329" t="s">
        <v>17</v>
      </c>
      <c r="B329" t="s">
        <v>27</v>
      </c>
      <c r="C329" s="1" t="s">
        <v>38</v>
      </c>
      <c r="D329" s="1" t="s">
        <v>47</v>
      </c>
      <c r="E329">
        <v>2851</v>
      </c>
      <c r="F329" s="2">
        <v>10</v>
      </c>
      <c r="G329" s="2">
        <v>350</v>
      </c>
      <c r="H329" s="2">
        <v>997850</v>
      </c>
      <c r="I329" s="2">
        <v>149677.5</v>
      </c>
      <c r="J329" s="2">
        <v>848172.5</v>
      </c>
      <c r="K329" s="2">
        <v>741260</v>
      </c>
      <c r="L329" s="2">
        <v>106912.5</v>
      </c>
      <c r="M329" s="3">
        <v>41760</v>
      </c>
      <c r="N329" s="4">
        <v>5</v>
      </c>
      <c r="O329" s="1" t="s">
        <v>44</v>
      </c>
      <c r="P329" s="5" t="s">
        <v>22</v>
      </c>
      <c r="Q329" s="2">
        <f>sales[[#This Row],[Profit]]/sales[[#This Row],[Units Sold]]</f>
        <v>37.5</v>
      </c>
    </row>
    <row r="330" spans="1:17" x14ac:dyDescent="0.25">
      <c r="A330" t="s">
        <v>24</v>
      </c>
      <c r="B330" t="s">
        <v>18</v>
      </c>
      <c r="C330" s="1" t="s">
        <v>38</v>
      </c>
      <c r="D330" s="1" t="s">
        <v>47</v>
      </c>
      <c r="E330">
        <v>2559</v>
      </c>
      <c r="F330" s="2">
        <v>10</v>
      </c>
      <c r="G330" s="2">
        <v>15</v>
      </c>
      <c r="H330" s="2">
        <v>38385</v>
      </c>
      <c r="I330" s="2">
        <v>5757.75</v>
      </c>
      <c r="J330" s="2">
        <v>32627.25</v>
      </c>
      <c r="K330" s="2">
        <v>25590</v>
      </c>
      <c r="L330" s="2">
        <v>7037.25</v>
      </c>
      <c r="M330" s="3">
        <v>41852</v>
      </c>
      <c r="N330" s="4">
        <v>8</v>
      </c>
      <c r="O330" s="1" t="s">
        <v>35</v>
      </c>
      <c r="P330" s="5" t="s">
        <v>22</v>
      </c>
      <c r="Q330" s="2">
        <f>sales[[#This Row],[Profit]]/sales[[#This Row],[Units Sold]]</f>
        <v>2.75</v>
      </c>
    </row>
    <row r="331" spans="1:17" x14ac:dyDescent="0.25">
      <c r="A331" t="s">
        <v>24</v>
      </c>
      <c r="B331" t="s">
        <v>23</v>
      </c>
      <c r="C331" s="1" t="s">
        <v>38</v>
      </c>
      <c r="D331" s="1" t="s">
        <v>47</v>
      </c>
      <c r="E331">
        <v>1175</v>
      </c>
      <c r="F331" s="2">
        <v>10</v>
      </c>
      <c r="G331" s="2">
        <v>15</v>
      </c>
      <c r="H331" s="2">
        <v>17625</v>
      </c>
      <c r="I331" s="2">
        <v>2643.75</v>
      </c>
      <c r="J331" s="2">
        <v>14981.25</v>
      </c>
      <c r="K331" s="2">
        <v>11750</v>
      </c>
      <c r="L331" s="2">
        <v>3231.25</v>
      </c>
      <c r="M331" s="3">
        <v>41913</v>
      </c>
      <c r="N331" s="4">
        <v>10</v>
      </c>
      <c r="O331" s="1" t="s">
        <v>40</v>
      </c>
      <c r="P331" s="5" t="s">
        <v>22</v>
      </c>
      <c r="Q331" s="2">
        <f>sales[[#This Row],[Profit]]/sales[[#This Row],[Units Sold]]</f>
        <v>2.75</v>
      </c>
    </row>
    <row r="332" spans="1:17" x14ac:dyDescent="0.25">
      <c r="A332" t="s">
        <v>31</v>
      </c>
      <c r="B332" t="s">
        <v>37</v>
      </c>
      <c r="C332" s="1" t="s">
        <v>38</v>
      </c>
      <c r="D332" s="1" t="s">
        <v>47</v>
      </c>
      <c r="E332">
        <v>914</v>
      </c>
      <c r="F332" s="2">
        <v>10</v>
      </c>
      <c r="G332" s="2">
        <v>12</v>
      </c>
      <c r="H332" s="2">
        <v>10968</v>
      </c>
      <c r="I332" s="2">
        <v>1645.2</v>
      </c>
      <c r="J332" s="2">
        <v>9322.7999999999993</v>
      </c>
      <c r="K332" s="2">
        <v>2742</v>
      </c>
      <c r="L332" s="2">
        <v>6580.7999999999993</v>
      </c>
      <c r="M332" s="3">
        <v>41974</v>
      </c>
      <c r="N332" s="4">
        <v>12</v>
      </c>
      <c r="O332" s="1" t="s">
        <v>28</v>
      </c>
      <c r="P332" s="5" t="s">
        <v>22</v>
      </c>
      <c r="Q332" s="2">
        <f>sales[[#This Row],[Profit]]/sales[[#This Row],[Units Sold]]</f>
        <v>7.1999999999999993</v>
      </c>
    </row>
    <row r="333" spans="1:17" x14ac:dyDescent="0.25">
      <c r="A333" t="s">
        <v>17</v>
      </c>
      <c r="B333" t="s">
        <v>25</v>
      </c>
      <c r="C333" s="1" t="s">
        <v>38</v>
      </c>
      <c r="D333" s="1" t="s">
        <v>47</v>
      </c>
      <c r="E333">
        <v>293</v>
      </c>
      <c r="F333" s="2">
        <v>10</v>
      </c>
      <c r="G333" s="2">
        <v>20</v>
      </c>
      <c r="H333" s="2">
        <v>5860</v>
      </c>
      <c r="I333" s="2">
        <v>879</v>
      </c>
      <c r="J333" s="2">
        <v>4981</v>
      </c>
      <c r="K333" s="2">
        <v>2930</v>
      </c>
      <c r="L333" s="2">
        <v>2051</v>
      </c>
      <c r="M333" s="3">
        <v>41974</v>
      </c>
      <c r="N333" s="4">
        <v>12</v>
      </c>
      <c r="O333" s="1" t="s">
        <v>28</v>
      </c>
      <c r="P333" s="5" t="s">
        <v>22</v>
      </c>
      <c r="Q333" s="2">
        <f>sales[[#This Row],[Profit]]/sales[[#This Row],[Units Sold]]</f>
        <v>7</v>
      </c>
    </row>
    <row r="334" spans="1:17" x14ac:dyDescent="0.25">
      <c r="A334" t="s">
        <v>34</v>
      </c>
      <c r="B334" t="s">
        <v>25</v>
      </c>
      <c r="C334" s="1" t="s">
        <v>41</v>
      </c>
      <c r="D334" s="1" t="s">
        <v>47</v>
      </c>
      <c r="E334">
        <v>2475</v>
      </c>
      <c r="F334" s="2">
        <v>260</v>
      </c>
      <c r="G334" s="2">
        <v>300</v>
      </c>
      <c r="H334" s="2">
        <v>742500</v>
      </c>
      <c r="I334" s="2">
        <v>111375</v>
      </c>
      <c r="J334" s="2">
        <v>631125</v>
      </c>
      <c r="K334" s="2">
        <v>618750</v>
      </c>
      <c r="L334" s="2">
        <v>12375</v>
      </c>
      <c r="M334" s="3">
        <v>41699</v>
      </c>
      <c r="N334" s="4">
        <v>3</v>
      </c>
      <c r="O334" s="1" t="s">
        <v>30</v>
      </c>
      <c r="P334" s="5" t="s">
        <v>22</v>
      </c>
      <c r="Q334" s="2">
        <f>sales[[#This Row],[Profit]]/sales[[#This Row],[Units Sold]]</f>
        <v>5</v>
      </c>
    </row>
    <row r="335" spans="1:17" x14ac:dyDescent="0.25">
      <c r="A335" t="s">
        <v>34</v>
      </c>
      <c r="B335" t="s">
        <v>27</v>
      </c>
      <c r="C335" s="1" t="s">
        <v>41</v>
      </c>
      <c r="D335" s="1" t="s">
        <v>47</v>
      </c>
      <c r="E335">
        <v>546</v>
      </c>
      <c r="F335" s="2">
        <v>260</v>
      </c>
      <c r="G335" s="2">
        <v>300</v>
      </c>
      <c r="H335" s="2">
        <v>163800</v>
      </c>
      <c r="I335" s="2">
        <v>24570</v>
      </c>
      <c r="J335" s="2">
        <v>139230</v>
      </c>
      <c r="K335" s="2">
        <v>136500</v>
      </c>
      <c r="L335" s="2">
        <v>2730</v>
      </c>
      <c r="M335" s="3">
        <v>41913</v>
      </c>
      <c r="N335" s="4">
        <v>10</v>
      </c>
      <c r="O335" s="1" t="s">
        <v>40</v>
      </c>
      <c r="P335" s="5" t="s">
        <v>22</v>
      </c>
      <c r="Q335" s="2">
        <f>sales[[#This Row],[Profit]]/sales[[#This Row],[Units Sold]]</f>
        <v>5</v>
      </c>
    </row>
    <row r="336" spans="1:17" x14ac:dyDescent="0.25">
      <c r="A336" t="s">
        <v>17</v>
      </c>
      <c r="B336" t="s">
        <v>27</v>
      </c>
      <c r="C336" s="1" t="s">
        <v>29</v>
      </c>
      <c r="D336" s="1" t="s">
        <v>47</v>
      </c>
      <c r="E336">
        <v>1368</v>
      </c>
      <c r="F336" s="2">
        <v>5</v>
      </c>
      <c r="G336" s="2">
        <v>7</v>
      </c>
      <c r="H336" s="2">
        <v>9576</v>
      </c>
      <c r="I336" s="2">
        <v>1436.4</v>
      </c>
      <c r="J336" s="2">
        <v>8139.6</v>
      </c>
      <c r="K336" s="2">
        <v>6840</v>
      </c>
      <c r="L336" s="2">
        <v>1299.6000000000004</v>
      </c>
      <c r="M336" s="3">
        <v>41671</v>
      </c>
      <c r="N336" s="4">
        <v>2</v>
      </c>
      <c r="O336" s="1" t="s">
        <v>39</v>
      </c>
      <c r="P336" s="5" t="s">
        <v>22</v>
      </c>
      <c r="Q336" s="2">
        <f>sales[[#This Row],[Profit]]/sales[[#This Row],[Units Sold]]</f>
        <v>0.95000000000000029</v>
      </c>
    </row>
    <row r="337" spans="1:17" x14ac:dyDescent="0.25">
      <c r="A337" t="s">
        <v>17</v>
      </c>
      <c r="B337" t="s">
        <v>18</v>
      </c>
      <c r="C337" s="1" t="s">
        <v>38</v>
      </c>
      <c r="D337" s="1" t="s">
        <v>47</v>
      </c>
      <c r="E337">
        <v>723</v>
      </c>
      <c r="F337" s="2">
        <v>10</v>
      </c>
      <c r="G337" s="2">
        <v>7</v>
      </c>
      <c r="H337" s="2">
        <v>5061</v>
      </c>
      <c r="I337" s="2">
        <v>759.15000000000009</v>
      </c>
      <c r="J337" s="2">
        <v>4301.8500000000004</v>
      </c>
      <c r="K337" s="2">
        <v>3615</v>
      </c>
      <c r="L337" s="2">
        <v>686.85000000000014</v>
      </c>
      <c r="M337" s="3">
        <v>41730</v>
      </c>
      <c r="N337" s="4">
        <v>4</v>
      </c>
      <c r="O337" s="1" t="s">
        <v>42</v>
      </c>
      <c r="P337" s="5" t="s">
        <v>22</v>
      </c>
      <c r="Q337" s="2">
        <f>sales[[#This Row],[Profit]]/sales[[#This Row],[Units Sold]]</f>
        <v>0.95000000000000018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63"/>
  <sheetViews>
    <sheetView showGridLines="0" topLeftCell="C1" zoomScaleNormal="100" workbookViewId="0">
      <selection activeCell="I1" sqref="I1"/>
    </sheetView>
  </sheetViews>
  <sheetFormatPr defaultRowHeight="15" x14ac:dyDescent="0.25"/>
  <cols>
    <col min="1" max="1" width="20.7109375" customWidth="1"/>
    <col min="2" max="2" width="11.28515625" style="12" bestFit="1" customWidth="1"/>
    <col min="3" max="3" width="8" bestFit="1" customWidth="1"/>
    <col min="6" max="6" width="15.7109375" bestFit="1" customWidth="1"/>
    <col min="7" max="7" width="21.7109375" style="12" bestFit="1" customWidth="1"/>
    <col min="8" max="8" width="7.28515625" customWidth="1"/>
    <col min="9" max="9" width="15.7109375" bestFit="1" customWidth="1"/>
    <col min="10" max="10" width="16" bestFit="1" customWidth="1"/>
    <col min="11" max="11" width="13.28515625" customWidth="1"/>
    <col min="12" max="12" width="12.140625" customWidth="1"/>
    <col min="13" max="13" width="14.42578125" customWidth="1"/>
    <col min="14" max="14" width="16.7109375" customWidth="1"/>
    <col min="15" max="15" width="13.140625" style="12" bestFit="1" customWidth="1"/>
    <col min="16" max="16" width="8.85546875" customWidth="1"/>
    <col min="17" max="17" width="15.7109375" customWidth="1"/>
    <col min="18" max="18" width="13.140625" style="12" customWidth="1"/>
    <col min="20" max="20" width="16.28515625" customWidth="1"/>
    <col min="21" max="21" width="16.7109375" style="12" customWidth="1"/>
    <col min="22" max="22" width="12.5703125" bestFit="1" customWidth="1"/>
    <col min="23" max="23" width="16.7109375" style="12" bestFit="1" customWidth="1"/>
    <col min="24" max="24" width="18.42578125" customWidth="1"/>
    <col min="25" max="25" width="21" customWidth="1"/>
    <col min="26" max="26" width="16.42578125" bestFit="1" customWidth="1"/>
    <col min="27" max="27" width="14.140625" customWidth="1"/>
    <col min="28" max="28" width="11.28515625" style="12" bestFit="1" customWidth="1"/>
    <col min="29" max="29" width="10.140625" bestFit="1" customWidth="1"/>
    <col min="31" max="36" width="12.140625" bestFit="1" customWidth="1"/>
    <col min="37" max="37" width="16" bestFit="1" customWidth="1"/>
    <col min="38" max="38" width="12" bestFit="1" customWidth="1"/>
    <col min="39" max="43" width="11" bestFit="1" customWidth="1"/>
    <col min="44" max="44" width="12.140625" bestFit="1" customWidth="1"/>
    <col min="45" max="45" width="10" bestFit="1" customWidth="1"/>
    <col min="46" max="46" width="9" bestFit="1" customWidth="1"/>
    <col min="47" max="47" width="11" bestFit="1" customWidth="1"/>
    <col min="48" max="48" width="10" bestFit="1" customWidth="1"/>
    <col min="49" max="50" width="11" bestFit="1" customWidth="1"/>
    <col min="51" max="51" width="10" bestFit="1" customWidth="1"/>
    <col min="52" max="52" width="10.28515625" bestFit="1" customWidth="1"/>
    <col min="53" max="54" width="10" bestFit="1" customWidth="1"/>
    <col min="55" max="55" width="11" bestFit="1" customWidth="1"/>
    <col min="56" max="56" width="16" bestFit="1" customWidth="1"/>
    <col min="57" max="57" width="8.42578125" bestFit="1" customWidth="1"/>
    <col min="58" max="58" width="6.42578125" bestFit="1" customWidth="1"/>
    <col min="59" max="59" width="8" bestFit="1" customWidth="1"/>
    <col min="60" max="61" width="6" bestFit="1" customWidth="1"/>
    <col min="62" max="62" width="8" bestFit="1" customWidth="1"/>
    <col min="63" max="63" width="6.85546875" bestFit="1" customWidth="1"/>
    <col min="64" max="64" width="10.28515625" bestFit="1" customWidth="1"/>
    <col min="65" max="65" width="7.7109375" bestFit="1" customWidth="1"/>
    <col min="66" max="66" width="9.85546875" bestFit="1" customWidth="1"/>
    <col min="67" max="67" width="9.5703125" bestFit="1" customWidth="1"/>
    <col min="68" max="69" width="16.85546875" bestFit="1" customWidth="1"/>
    <col min="70" max="70" width="20.7109375" bestFit="1" customWidth="1"/>
  </cols>
  <sheetData>
    <row r="1" spans="1:29" ht="15.75" x14ac:dyDescent="0.25">
      <c r="H1">
        <v>2</v>
      </c>
      <c r="I1" s="9" t="str">
        <f>VLOOKUP(H1,List!A:B,2,FALSE)</f>
        <v>Shane Bond</v>
      </c>
      <c r="T1" s="42"/>
      <c r="U1" s="42"/>
      <c r="V1" s="42"/>
      <c r="W1" s="42"/>
      <c r="X1" s="42"/>
      <c r="Y1" s="42"/>
      <c r="Z1" s="42"/>
      <c r="AA1" s="42"/>
      <c r="AB1" s="42"/>
      <c r="AC1" s="42"/>
    </row>
    <row r="2" spans="1:29" x14ac:dyDescent="0.25">
      <c r="K2" s="7" t="s">
        <v>48</v>
      </c>
      <c r="L2" t="s">
        <v>50</v>
      </c>
      <c r="M2" t="s">
        <v>51</v>
      </c>
      <c r="N2" s="7" t="s">
        <v>48</v>
      </c>
      <c r="O2" s="20" t="s">
        <v>50</v>
      </c>
      <c r="Q2" s="7" t="s">
        <v>48</v>
      </c>
      <c r="R2" s="20" t="s">
        <v>51</v>
      </c>
      <c r="T2" s="7" t="s">
        <v>48</v>
      </c>
      <c r="U2" t="s">
        <v>50</v>
      </c>
      <c r="V2" t="s">
        <v>51</v>
      </c>
      <c r="W2" t="s">
        <v>64</v>
      </c>
      <c r="X2" s="22" t="s">
        <v>65</v>
      </c>
      <c r="Y2" s="20" t="s">
        <v>66</v>
      </c>
      <c r="Z2" s="21"/>
      <c r="AB2" s="24"/>
      <c r="AC2" s="17"/>
    </row>
    <row r="3" spans="1:29" x14ac:dyDescent="0.25">
      <c r="K3" s="10" t="s">
        <v>27</v>
      </c>
      <c r="L3" s="8">
        <v>11927281.799999999</v>
      </c>
      <c r="M3" s="8">
        <v>1889990.8</v>
      </c>
      <c r="N3" s="10" t="s">
        <v>27</v>
      </c>
      <c r="O3" s="20">
        <v>11927281.800000001</v>
      </c>
      <c r="Q3" s="10" t="s">
        <v>27</v>
      </c>
      <c r="R3" s="20">
        <v>1889990.8</v>
      </c>
      <c r="T3" s="10" t="s">
        <v>21</v>
      </c>
      <c r="U3" s="8">
        <v>5484378.8350000009</v>
      </c>
      <c r="V3" s="8">
        <v>764476.33499999996</v>
      </c>
      <c r="W3" s="8">
        <v>40506</v>
      </c>
      <c r="X3" s="22">
        <v>0.13939159893939015</v>
      </c>
      <c r="Y3" s="20">
        <v>18.873162864760776</v>
      </c>
      <c r="Z3" s="23"/>
      <c r="AC3" s="25"/>
    </row>
    <row r="4" spans="1:29" x14ac:dyDescent="0.25">
      <c r="A4" t="s">
        <v>52</v>
      </c>
      <c r="B4" s="12">
        <f>VLOOKUP(I1,K:M,2,FALSE)</f>
        <v>10844572.279999996</v>
      </c>
      <c r="K4" s="10" t="s">
        <v>37</v>
      </c>
      <c r="L4" s="8">
        <v>10594800.495000001</v>
      </c>
      <c r="M4" s="8">
        <v>1815167.9950000003</v>
      </c>
      <c r="N4" s="11" t="s">
        <v>38</v>
      </c>
      <c r="O4" s="20">
        <v>6007049.4300000006</v>
      </c>
      <c r="Q4" s="11" t="s">
        <v>38</v>
      </c>
      <c r="R4" s="20">
        <v>778039.42999999993</v>
      </c>
      <c r="T4" s="10" t="s">
        <v>39</v>
      </c>
      <c r="U4" s="8">
        <v>3183530.1400000006</v>
      </c>
      <c r="V4" s="8">
        <v>784206.13999999978</v>
      </c>
      <c r="W4" s="8">
        <v>36012</v>
      </c>
      <c r="X4" s="22">
        <v>0.24633224926841737</v>
      </c>
      <c r="Y4" s="20">
        <v>21.776245140508713</v>
      </c>
      <c r="AC4" s="25"/>
    </row>
    <row r="5" spans="1:29" x14ac:dyDescent="0.25">
      <c r="A5" t="s">
        <v>11</v>
      </c>
      <c r="B5" s="12">
        <f>VLOOKUP(I1,K:M,3,FALSE)</f>
        <v>1711620.2800000003</v>
      </c>
      <c r="K5" s="10" t="s">
        <v>25</v>
      </c>
      <c r="L5" s="8">
        <v>12741889.214999996</v>
      </c>
      <c r="M5" s="8">
        <v>2123677.2150000008</v>
      </c>
      <c r="N5" s="11" t="s">
        <v>41</v>
      </c>
      <c r="O5" s="20">
        <v>2815346.1</v>
      </c>
      <c r="Q5" s="11" t="s">
        <v>41</v>
      </c>
      <c r="R5" s="20">
        <v>470942.10000000003</v>
      </c>
      <c r="T5" s="10" t="s">
        <v>30</v>
      </c>
      <c r="U5" s="8">
        <v>4696731.2</v>
      </c>
      <c r="V5" s="8">
        <v>616541.19999999984</v>
      </c>
      <c r="W5" s="8">
        <v>32676</v>
      </c>
      <c r="X5" s="22">
        <v>0.1312702758037334</v>
      </c>
      <c r="Y5" s="20">
        <v>18.868319255722849</v>
      </c>
      <c r="AC5" s="25"/>
    </row>
    <row r="6" spans="1:29" x14ac:dyDescent="0.25">
      <c r="A6" t="s">
        <v>72</v>
      </c>
      <c r="B6" s="12">
        <f>VLOOKUP($I$1,M37:N41,2)</f>
        <v>89526</v>
      </c>
      <c r="K6" s="10" t="s">
        <v>18</v>
      </c>
      <c r="L6" s="8">
        <v>12815883.714999998</v>
      </c>
      <c r="M6" s="8">
        <v>2034092.2149999999</v>
      </c>
      <c r="N6" s="11" t="s">
        <v>19</v>
      </c>
      <c r="O6" s="20">
        <v>1960387.5</v>
      </c>
      <c r="Q6" s="11" t="s">
        <v>19</v>
      </c>
      <c r="R6" s="20">
        <v>412965.5</v>
      </c>
      <c r="T6" s="10" t="s">
        <v>42</v>
      </c>
      <c r="U6" s="8">
        <v>5366693.37</v>
      </c>
      <c r="V6" s="8">
        <v>616045.37</v>
      </c>
      <c r="W6" s="8">
        <v>55565.5</v>
      </c>
      <c r="X6" s="22">
        <v>0.11479049156110069</v>
      </c>
      <c r="Y6" s="20">
        <v>11.086832117051047</v>
      </c>
      <c r="AC6" s="25"/>
    </row>
    <row r="7" spans="1:29" x14ac:dyDescent="0.25">
      <c r="K7" s="10" t="s">
        <v>23</v>
      </c>
      <c r="L7" s="8">
        <v>10844572.279999996</v>
      </c>
      <c r="M7" s="8">
        <v>1711620.2800000003</v>
      </c>
      <c r="N7" s="11" t="s">
        <v>29</v>
      </c>
      <c r="O7" s="20">
        <v>1144498.77</v>
      </c>
      <c r="Q7" s="11" t="s">
        <v>29</v>
      </c>
      <c r="R7" s="20">
        <v>228043.77000000002</v>
      </c>
      <c r="T7" s="10" t="s">
        <v>44</v>
      </c>
      <c r="U7" s="8">
        <v>5363460.59</v>
      </c>
      <c r="V7" s="8">
        <v>818772.59</v>
      </c>
      <c r="W7" s="8">
        <v>32832</v>
      </c>
      <c r="X7" s="22">
        <v>0.15265751957357068</v>
      </c>
      <c r="Y7" s="20">
        <v>24.93824896442495</v>
      </c>
      <c r="AC7" s="25"/>
    </row>
    <row r="8" spans="1:29" x14ac:dyDescent="0.25">
      <c r="A8" t="s">
        <v>53</v>
      </c>
      <c r="B8" s="12">
        <f>MATCH(I1,N:N,0)</f>
        <v>23</v>
      </c>
      <c r="K8" s="10" t="s">
        <v>49</v>
      </c>
      <c r="L8" s="8">
        <v>58924427.504999988</v>
      </c>
      <c r="M8" s="8">
        <v>9574548.5050000027</v>
      </c>
      <c r="N8" s="10" t="s">
        <v>37</v>
      </c>
      <c r="O8" s="20">
        <v>10594800.495000001</v>
      </c>
      <c r="Q8" s="10" t="s">
        <v>37</v>
      </c>
      <c r="R8" s="20">
        <v>1815167.9950000001</v>
      </c>
      <c r="T8" s="10" t="s">
        <v>26</v>
      </c>
      <c r="U8" s="8">
        <v>6642263.6599999983</v>
      </c>
      <c r="V8" s="8">
        <v>1073660.6600000001</v>
      </c>
      <c r="W8" s="8">
        <v>67124</v>
      </c>
      <c r="X8" s="22">
        <v>0.16164077714433883</v>
      </c>
      <c r="Y8" s="20">
        <v>15.995182944997321</v>
      </c>
      <c r="AC8" s="25"/>
    </row>
    <row r="9" spans="1:29" x14ac:dyDescent="0.25">
      <c r="A9">
        <v>0</v>
      </c>
      <c r="B9" s="30" t="str">
        <f ca="1">OFFSET($N$1,$B$8+A9,0)</f>
        <v>Projector</v>
      </c>
      <c r="C9" s="31" t="str">
        <f ca="1">ROUND((OFFSET($N$1,$B$8+A9,1)/1000000),1) &amp; "M"</f>
        <v>3.4M</v>
      </c>
      <c r="N9" s="11" t="s">
        <v>38</v>
      </c>
      <c r="O9" s="20">
        <v>5217682.04</v>
      </c>
      <c r="Q9" s="11" t="s">
        <v>38</v>
      </c>
      <c r="R9" s="20">
        <v>876598.54</v>
      </c>
      <c r="T9" s="10" t="s">
        <v>33</v>
      </c>
      <c r="U9" s="8">
        <v>3994621.6800000006</v>
      </c>
      <c r="V9" s="8">
        <v>582247.17999999993</v>
      </c>
      <c r="W9" s="8">
        <v>44646</v>
      </c>
      <c r="X9" s="22">
        <v>0.14575777799313397</v>
      </c>
      <c r="Y9" s="20">
        <v>13.041418716122383</v>
      </c>
      <c r="AC9" s="25"/>
    </row>
    <row r="10" spans="1:29" x14ac:dyDescent="0.25">
      <c r="A10">
        <v>1</v>
      </c>
      <c r="B10" s="30" t="str">
        <f ca="1">OFFSET($N$1,$B$8+A10,0)</f>
        <v>Printer</v>
      </c>
      <c r="C10" s="31" t="str">
        <f ca="1">ROUND((OFFSET($N$1,$B$8+A10,1)/1000000),1) &amp; "M"</f>
        <v>2.5M</v>
      </c>
      <c r="N10" s="11" t="s">
        <v>41</v>
      </c>
      <c r="O10" s="20">
        <v>2139346.7849999997</v>
      </c>
      <c r="Q10" s="11" t="s">
        <v>29</v>
      </c>
      <c r="R10" s="20">
        <v>347118.63</v>
      </c>
      <c r="T10" s="10" t="s">
        <v>35</v>
      </c>
      <c r="U10" s="8">
        <v>1786847.72</v>
      </c>
      <c r="V10" s="8">
        <v>349771.72000000003</v>
      </c>
      <c r="W10" s="8">
        <v>35792</v>
      </c>
      <c r="X10" s="22">
        <v>0.19574791745543937</v>
      </c>
      <c r="Y10" s="20">
        <v>9.7723435404559691</v>
      </c>
      <c r="AC10" s="25"/>
    </row>
    <row r="11" spans="1:29" x14ac:dyDescent="0.25">
      <c r="A11">
        <v>2</v>
      </c>
      <c r="B11" s="30" t="str">
        <f ca="1">OFFSET($N$1,$B$8+A11,0)</f>
        <v>Computer</v>
      </c>
      <c r="C11" s="31" t="str">
        <f ca="1">ROUND((OFFSET($N$1,$B$8+A11,1)/1000000),1) &amp; "M"</f>
        <v>2.5M</v>
      </c>
      <c r="N11" s="11" t="s">
        <v>29</v>
      </c>
      <c r="O11" s="20">
        <v>1850323.6300000001</v>
      </c>
      <c r="Q11" s="11" t="s">
        <v>41</v>
      </c>
      <c r="R11" s="20">
        <v>334837.78499999997</v>
      </c>
      <c r="T11" s="10" t="s">
        <v>36</v>
      </c>
      <c r="U11" s="8">
        <v>3448123.99</v>
      </c>
      <c r="V11" s="8">
        <v>807818.98999999987</v>
      </c>
      <c r="W11" s="8">
        <v>42687</v>
      </c>
      <c r="X11" s="22">
        <v>0.23427782537483516</v>
      </c>
      <c r="Y11" s="20">
        <v>18.924238995478714</v>
      </c>
      <c r="AC11" s="25"/>
    </row>
    <row r="12" spans="1:29" x14ac:dyDescent="0.25">
      <c r="A12">
        <v>3</v>
      </c>
      <c r="B12" s="30" t="str">
        <f ca="1">OFFSET($N$1,$B$8+A12,0)</f>
        <v>Phone</v>
      </c>
      <c r="C12" s="31" t="str">
        <f ca="1">ROUND((OFFSET($N$1,$B$8+A12,1)/1000000),1) &amp; "M"</f>
        <v>2.4M</v>
      </c>
      <c r="N12" s="11" t="s">
        <v>19</v>
      </c>
      <c r="O12" s="20">
        <v>1387448.04</v>
      </c>
      <c r="Q12" s="11" t="s">
        <v>19</v>
      </c>
      <c r="R12" s="20">
        <v>256613.04</v>
      </c>
      <c r="T12" s="10" t="s">
        <v>40</v>
      </c>
      <c r="U12" s="8">
        <v>4915389.2100000009</v>
      </c>
      <c r="V12" s="8">
        <v>709386.20999999973</v>
      </c>
      <c r="W12" s="8">
        <v>59396</v>
      </c>
      <c r="X12" s="22">
        <v>0.14431943833802727</v>
      </c>
      <c r="Y12" s="20">
        <v>11.94333305273082</v>
      </c>
      <c r="AC12" s="25"/>
    </row>
    <row r="13" spans="1:29" x14ac:dyDescent="0.25">
      <c r="B13" s="30"/>
      <c r="C13" s="32"/>
      <c r="F13" s="7" t="s">
        <v>48</v>
      </c>
      <c r="G13" s="20" t="s">
        <v>69</v>
      </c>
      <c r="I13" s="7" t="s">
        <v>48</v>
      </c>
      <c r="J13" t="s">
        <v>64</v>
      </c>
      <c r="N13" s="10" t="s">
        <v>25</v>
      </c>
      <c r="O13" s="20">
        <v>12741889.215</v>
      </c>
      <c r="Q13" s="10" t="s">
        <v>25</v>
      </c>
      <c r="R13" s="20">
        <v>2123677.2149999999</v>
      </c>
      <c r="T13" s="10" t="s">
        <v>45</v>
      </c>
      <c r="U13" s="8">
        <v>4418089.2300000004</v>
      </c>
      <c r="V13" s="8">
        <v>644115.23</v>
      </c>
      <c r="W13" s="8">
        <v>40569</v>
      </c>
      <c r="X13" s="22">
        <v>0.14579045294655579</v>
      </c>
      <c r="Y13" s="20">
        <v>15.877029998274544</v>
      </c>
      <c r="AC13" s="25"/>
    </row>
    <row r="14" spans="1:29" x14ac:dyDescent="0.25">
      <c r="A14">
        <v>0</v>
      </c>
      <c r="B14" s="30" t="str">
        <f ca="1">OFFSET($Q$1,$B$8+A14,0)</f>
        <v>Projector</v>
      </c>
      <c r="C14" s="31" t="str">
        <f ca="1">ROUND((OFFSET($R$1,$B$8+A14,0)/1000000),1) &amp; "M"</f>
        <v>0.5M</v>
      </c>
      <c r="F14" s="10" t="s">
        <v>27</v>
      </c>
      <c r="G14" s="20">
        <v>17.704168462071678</v>
      </c>
      <c r="I14" s="10" t="s">
        <v>27</v>
      </c>
      <c r="J14" s="8">
        <v>106754</v>
      </c>
      <c r="N14" s="11" t="s">
        <v>38</v>
      </c>
      <c r="O14" s="20">
        <v>4223067.1100000003</v>
      </c>
      <c r="Q14" s="11" t="s">
        <v>38</v>
      </c>
      <c r="R14" s="20">
        <v>719508.61</v>
      </c>
      <c r="T14" s="10" t="s">
        <v>28</v>
      </c>
      <c r="U14" s="8">
        <v>9624297.8800000008</v>
      </c>
      <c r="V14" s="8">
        <v>1807506.8800000004</v>
      </c>
      <c r="W14" s="8">
        <v>68847</v>
      </c>
      <c r="X14" s="22">
        <v>0.18780662262710432</v>
      </c>
      <c r="Y14" s="20">
        <v>26.253967202637739</v>
      </c>
      <c r="AC14" s="25"/>
    </row>
    <row r="15" spans="1:29" x14ac:dyDescent="0.25">
      <c r="A15">
        <v>1</v>
      </c>
      <c r="B15" s="30" t="str">
        <f ca="1">OFFSET($Q$1,$B$8+A15,0)</f>
        <v>Computer</v>
      </c>
      <c r="C15" s="31" t="str">
        <f ca="1">ROUND((OFFSET($R$1,$B$8+A15,0)/1000000),1) &amp; "M"</f>
        <v>0.4M</v>
      </c>
      <c r="F15" s="11" t="s">
        <v>19</v>
      </c>
      <c r="G15" s="20">
        <v>26.980628511694761</v>
      </c>
      <c r="I15" s="11" t="s">
        <v>38</v>
      </c>
      <c r="J15" s="8">
        <v>44483</v>
      </c>
      <c r="N15" s="11" t="s">
        <v>41</v>
      </c>
      <c r="O15" s="20">
        <v>2923130.52</v>
      </c>
      <c r="Q15" s="11" t="s">
        <v>41</v>
      </c>
      <c r="R15" s="20">
        <v>535934.02</v>
      </c>
      <c r="T15" s="10" t="s">
        <v>49</v>
      </c>
      <c r="U15" s="8">
        <v>58924427.505000003</v>
      </c>
      <c r="V15" s="8">
        <v>9574548.5050000008</v>
      </c>
      <c r="W15" s="8">
        <v>556652.5</v>
      </c>
      <c r="X15" s="22">
        <v>0.16248861313395987</v>
      </c>
      <c r="Y15" s="20">
        <v>17.200225463821695</v>
      </c>
      <c r="AC15" s="25"/>
    </row>
    <row r="16" spans="1:29" x14ac:dyDescent="0.25">
      <c r="A16">
        <v>2</v>
      </c>
      <c r="B16" s="30" t="str">
        <f ca="1">OFFSET($Q$1,$B$8+A16,0)</f>
        <v>Printer</v>
      </c>
      <c r="C16" s="31" t="str">
        <f ca="1">ROUND((OFFSET($R$1,$B$8+A16,0)/1000000),1) &amp; "M"</f>
        <v>0.4M</v>
      </c>
      <c r="F16" s="11" t="s">
        <v>41</v>
      </c>
      <c r="G16" s="20">
        <v>21.277824967243482</v>
      </c>
      <c r="I16" s="11" t="s">
        <v>29</v>
      </c>
      <c r="J16" s="8">
        <v>24832</v>
      </c>
      <c r="N16" s="11" t="s">
        <v>29</v>
      </c>
      <c r="O16" s="20">
        <v>2872875.28</v>
      </c>
      <c r="Q16" s="11" t="s">
        <v>19</v>
      </c>
      <c r="R16" s="20">
        <v>437078.30499999999</v>
      </c>
    </row>
    <row r="17" spans="1:28" x14ac:dyDescent="0.25">
      <c r="A17">
        <v>3</v>
      </c>
      <c r="B17" s="30" t="str">
        <f ca="1">OFFSET($Q$1,$B$8+A17,0)</f>
        <v>Phone</v>
      </c>
      <c r="C17" s="31" t="str">
        <f ca="1">ROUND((OFFSET($R$1,$B$8+A17,0)/1000000),1) &amp; "M"</f>
        <v>0.4M</v>
      </c>
      <c r="F17" s="11" t="s">
        <v>38</v>
      </c>
      <c r="G17" s="20">
        <v>17.490713980621809</v>
      </c>
      <c r="I17" s="11" t="s">
        <v>41</v>
      </c>
      <c r="J17" s="8">
        <v>22133</v>
      </c>
      <c r="N17" s="11" t="s">
        <v>19</v>
      </c>
      <c r="O17" s="20">
        <v>2722816.3050000002</v>
      </c>
      <c r="Q17" s="11" t="s">
        <v>29</v>
      </c>
      <c r="R17" s="20">
        <v>431156.27999999997</v>
      </c>
    </row>
    <row r="18" spans="1:28" x14ac:dyDescent="0.25">
      <c r="B18" s="30"/>
      <c r="C18" s="32"/>
      <c r="F18" s="11" t="s">
        <v>29</v>
      </c>
      <c r="G18" s="20">
        <v>9.1834636759020629</v>
      </c>
      <c r="I18" s="11" t="s">
        <v>19</v>
      </c>
      <c r="J18" s="8">
        <v>15306</v>
      </c>
      <c r="N18" s="10" t="s">
        <v>18</v>
      </c>
      <c r="O18" s="20">
        <v>12815883.715</v>
      </c>
      <c r="Q18" s="10" t="s">
        <v>18</v>
      </c>
      <c r="R18" s="20">
        <v>2034092.2150000001</v>
      </c>
      <c r="T18" s="7" t="s">
        <v>1</v>
      </c>
      <c r="U18" t="s">
        <v>23</v>
      </c>
    </row>
    <row r="19" spans="1:28" x14ac:dyDescent="0.25">
      <c r="A19">
        <v>0</v>
      </c>
      <c r="B19" s="30" t="str">
        <f ca="1">OFFSET($F$12,$B$8+A19,0)</f>
        <v>Computer</v>
      </c>
      <c r="C19" s="33">
        <f ca="1">OFFSET($F$12,$B$8+A19,1)</f>
        <v>22.721444250576909</v>
      </c>
      <c r="F19" s="10" t="s">
        <v>37</v>
      </c>
      <c r="G19" s="20">
        <v>16.453811174865617</v>
      </c>
      <c r="I19" s="10" t="s">
        <v>37</v>
      </c>
      <c r="J19" s="8">
        <v>110319</v>
      </c>
      <c r="N19" s="11" t="s">
        <v>38</v>
      </c>
      <c r="O19" s="20">
        <v>5835901.1799999988</v>
      </c>
      <c r="Q19" s="11" t="s">
        <v>38</v>
      </c>
      <c r="R19" s="20">
        <v>909556.17999999993</v>
      </c>
    </row>
    <row r="20" spans="1:28" x14ac:dyDescent="0.25">
      <c r="A20">
        <v>1</v>
      </c>
      <c r="B20" s="30" t="str">
        <f t="shared" ref="B20:B22" ca="1" si="0">OFFSET($F$12,$B$8+A20,0)</f>
        <v>Printer</v>
      </c>
      <c r="C20" s="33">
        <f t="shared" ref="C20:C22" ca="1" si="1">OFFSET($F$12,$B$8+A20,1)</f>
        <v>20.385907982779187</v>
      </c>
      <c r="F20" s="11" t="s">
        <v>29</v>
      </c>
      <c r="G20" s="20">
        <v>20.149100565955596</v>
      </c>
      <c r="I20" s="11" t="s">
        <v>38</v>
      </c>
      <c r="J20" s="8">
        <v>50597.5</v>
      </c>
      <c r="N20" s="11" t="s">
        <v>41</v>
      </c>
      <c r="O20" s="20">
        <v>2426759.5150000001</v>
      </c>
      <c r="Q20" s="11" t="s">
        <v>19</v>
      </c>
      <c r="R20" s="20">
        <v>423254.78</v>
      </c>
      <c r="T20" s="7" t="s">
        <v>48</v>
      </c>
      <c r="U20" t="s">
        <v>50</v>
      </c>
      <c r="V20" t="s">
        <v>51</v>
      </c>
      <c r="W20" t="s">
        <v>64</v>
      </c>
      <c r="X20" t="s">
        <v>67</v>
      </c>
      <c r="Y20" t="s">
        <v>71</v>
      </c>
      <c r="AB20"/>
    </row>
    <row r="21" spans="1:28" x14ac:dyDescent="0.25">
      <c r="A21">
        <v>2</v>
      </c>
      <c r="B21" s="30" t="str">
        <f t="shared" ca="1" si="0"/>
        <v>Phone</v>
      </c>
      <c r="C21" s="33">
        <f t="shared" ca="1" si="1"/>
        <v>19.333802608407137</v>
      </c>
      <c r="F21" s="11" t="s">
        <v>38</v>
      </c>
      <c r="G21" s="20">
        <v>17.324937793369237</v>
      </c>
      <c r="I21" s="11" t="s">
        <v>41</v>
      </c>
      <c r="J21" s="8">
        <v>24096.5</v>
      </c>
      <c r="N21" s="11" t="s">
        <v>29</v>
      </c>
      <c r="O21" s="20">
        <v>2285265.2400000002</v>
      </c>
      <c r="Q21" s="11" t="s">
        <v>41</v>
      </c>
      <c r="R21" s="20">
        <v>421608.01500000007</v>
      </c>
      <c r="T21" s="10" t="s">
        <v>21</v>
      </c>
      <c r="U21" s="8">
        <v>484779.8</v>
      </c>
      <c r="V21" s="8">
        <v>63799.8</v>
      </c>
      <c r="W21" s="8">
        <v>4266</v>
      </c>
      <c r="X21" s="25">
        <v>14.955414908579467</v>
      </c>
      <c r="Y21" s="22">
        <v>0.13160573109688153</v>
      </c>
      <c r="AA21" s="25">
        <f>W21</f>
        <v>4266</v>
      </c>
      <c r="AB21" s="22">
        <f>Y21</f>
        <v>0.13160573109688153</v>
      </c>
    </row>
    <row r="22" spans="1:28" x14ac:dyDescent="0.25">
      <c r="A22">
        <v>3</v>
      </c>
      <c r="B22" s="30" t="str">
        <f t="shared" ca="1" si="0"/>
        <v>Projector</v>
      </c>
      <c r="C22" s="33">
        <f t="shared" ca="1" si="1"/>
        <v>16.301543045652867</v>
      </c>
      <c r="F22" s="11" t="s">
        <v>19</v>
      </c>
      <c r="G22" s="20">
        <v>13.948256013045251</v>
      </c>
      <c r="I22" s="11" t="s">
        <v>19</v>
      </c>
      <c r="J22" s="8">
        <v>18397.5</v>
      </c>
      <c r="N22" s="11" t="s">
        <v>19</v>
      </c>
      <c r="O22" s="20">
        <v>2267957.7799999998</v>
      </c>
      <c r="Q22" s="11" t="s">
        <v>29</v>
      </c>
      <c r="R22" s="20">
        <v>279673.24</v>
      </c>
      <c r="T22" s="10" t="s">
        <v>39</v>
      </c>
      <c r="U22" s="8">
        <v>525597.62</v>
      </c>
      <c r="V22" s="8">
        <v>131599.62</v>
      </c>
      <c r="W22" s="8">
        <v>7410</v>
      </c>
      <c r="X22" s="25">
        <v>17.759732793522268</v>
      </c>
      <c r="Y22" s="22">
        <v>0.25038092828502534</v>
      </c>
      <c r="AA22" s="25">
        <f t="shared" ref="AA22:AA32" si="2">W22</f>
        <v>7410</v>
      </c>
      <c r="AB22" s="22">
        <f t="shared" ref="AB22:AB32" si="3">Y22</f>
        <v>0.25038092828502534</v>
      </c>
    </row>
    <row r="23" spans="1:28" x14ac:dyDescent="0.25">
      <c r="B23" s="30"/>
      <c r="C23" s="32"/>
      <c r="F23" s="11" t="s">
        <v>41</v>
      </c>
      <c r="G23" s="20">
        <v>13.895702072915153</v>
      </c>
      <c r="I23" s="11" t="s">
        <v>29</v>
      </c>
      <c r="J23" s="8">
        <v>17227.5</v>
      </c>
      <c r="N23" s="10" t="s">
        <v>23</v>
      </c>
      <c r="O23" s="20">
        <v>10844572.280000001</v>
      </c>
      <c r="Q23" s="10" t="s">
        <v>23</v>
      </c>
      <c r="R23" s="20">
        <v>1711620.2799999998</v>
      </c>
      <c r="T23" s="10" t="s">
        <v>30</v>
      </c>
      <c r="U23" s="8">
        <v>451755</v>
      </c>
      <c r="V23" s="8">
        <v>64895</v>
      </c>
      <c r="W23" s="8">
        <v>3925</v>
      </c>
      <c r="X23" s="25">
        <v>16.53375796178344</v>
      </c>
      <c r="Y23" s="22">
        <v>0.14365087270755167</v>
      </c>
      <c r="AA23" s="25">
        <f t="shared" si="2"/>
        <v>3925</v>
      </c>
      <c r="AB23" s="22">
        <f t="shared" si="3"/>
        <v>0.14365087270755167</v>
      </c>
    </row>
    <row r="24" spans="1:28" x14ac:dyDescent="0.25">
      <c r="A24">
        <v>0</v>
      </c>
      <c r="B24" s="30" t="str">
        <f ca="1">OFFSET($I$12,$B$8+A24,0)</f>
        <v>Projector</v>
      </c>
      <c r="C24" s="33">
        <f ca="1">OFFSET($I$12,$B$8+A24,1)</f>
        <v>32889.5</v>
      </c>
      <c r="F24" s="10" t="s">
        <v>25</v>
      </c>
      <c r="G24" s="20">
        <v>17.030768425737694</v>
      </c>
      <c r="I24" s="10" t="s">
        <v>25</v>
      </c>
      <c r="J24" s="8">
        <v>124696.5</v>
      </c>
      <c r="N24" s="11" t="s">
        <v>38</v>
      </c>
      <c r="O24" s="20">
        <v>3433174.6000000006</v>
      </c>
      <c r="Q24" s="11" t="s">
        <v>38</v>
      </c>
      <c r="R24" s="20">
        <v>536149.6</v>
      </c>
      <c r="T24" s="10" t="s">
        <v>42</v>
      </c>
      <c r="U24" s="8">
        <v>1353872.46</v>
      </c>
      <c r="V24" s="8">
        <v>150072.46000000002</v>
      </c>
      <c r="W24" s="8">
        <v>10672</v>
      </c>
      <c r="X24" s="25">
        <v>14.062261994003</v>
      </c>
      <c r="Y24" s="22">
        <v>0.11084682230702884</v>
      </c>
      <c r="AA24" s="25">
        <f t="shared" si="2"/>
        <v>10672</v>
      </c>
      <c r="AB24" s="22">
        <f t="shared" si="3"/>
        <v>0.11084682230702884</v>
      </c>
    </row>
    <row r="25" spans="1:28" x14ac:dyDescent="0.25">
      <c r="A25">
        <v>1</v>
      </c>
      <c r="B25" s="30" t="str">
        <f t="shared" ref="B25:B27" ca="1" si="4">OFFSET($I$12,$B$8+A25,0)</f>
        <v>Phone</v>
      </c>
      <c r="C25" s="33">
        <f t="shared" ref="C25:C27" ca="1" si="5">OFFSET($I$12,$B$8+A25,1)</f>
        <v>19590.5</v>
      </c>
      <c r="F25" s="11" t="s">
        <v>41</v>
      </c>
      <c r="G25" s="20">
        <v>22.25963159097045</v>
      </c>
      <c r="I25" s="11" t="s">
        <v>38</v>
      </c>
      <c r="J25" s="8">
        <v>51270</v>
      </c>
      <c r="N25" s="11" t="s">
        <v>29</v>
      </c>
      <c r="O25" s="20">
        <v>2513190.92</v>
      </c>
      <c r="Q25" s="11" t="s">
        <v>19</v>
      </c>
      <c r="R25" s="20">
        <v>403691.89999999997</v>
      </c>
      <c r="T25" s="10" t="s">
        <v>44</v>
      </c>
      <c r="U25" s="8">
        <v>1286300.3999999999</v>
      </c>
      <c r="V25" s="8">
        <v>189475.4</v>
      </c>
      <c r="W25" s="8">
        <v>7222</v>
      </c>
      <c r="X25" s="25">
        <v>26.235862641927444</v>
      </c>
      <c r="Y25" s="22">
        <v>0.14730260520792809</v>
      </c>
      <c r="AA25" s="25">
        <f t="shared" si="2"/>
        <v>7222</v>
      </c>
      <c r="AB25" s="22">
        <f t="shared" si="3"/>
        <v>0.14730260520792809</v>
      </c>
    </row>
    <row r="26" spans="1:28" x14ac:dyDescent="0.25">
      <c r="A26">
        <v>2</v>
      </c>
      <c r="B26" s="30" t="str">
        <f t="shared" ca="1" si="4"/>
        <v>Printer</v>
      </c>
      <c r="C26" s="33">
        <f t="shared" ca="1" si="5"/>
        <v>19279</v>
      </c>
      <c r="F26" s="11" t="s">
        <v>19</v>
      </c>
      <c r="G26" s="20">
        <v>17.772467978693125</v>
      </c>
      <c r="I26" s="11" t="s">
        <v>29</v>
      </c>
      <c r="J26" s="8">
        <v>24757</v>
      </c>
      <c r="N26" s="11" t="s">
        <v>19</v>
      </c>
      <c r="O26" s="20">
        <v>2462379.9000000004</v>
      </c>
      <c r="Q26" s="11" t="s">
        <v>29</v>
      </c>
      <c r="R26" s="20">
        <v>393019.92</v>
      </c>
      <c r="T26" s="10" t="s">
        <v>26</v>
      </c>
      <c r="U26" s="8">
        <v>1025589.3</v>
      </c>
      <c r="V26" s="8">
        <v>190294.3</v>
      </c>
      <c r="W26" s="8">
        <v>9119</v>
      </c>
      <c r="X26" s="25">
        <v>20.86789121614212</v>
      </c>
      <c r="Y26" s="22">
        <v>0.18554630006377795</v>
      </c>
      <c r="AA26" s="25">
        <f t="shared" si="2"/>
        <v>9119</v>
      </c>
      <c r="AB26" s="22">
        <f t="shared" si="3"/>
        <v>0.18554630006377795</v>
      </c>
    </row>
    <row r="27" spans="1:28" x14ac:dyDescent="0.25">
      <c r="A27">
        <v>3</v>
      </c>
      <c r="B27" s="30" t="str">
        <f t="shared" ca="1" si="4"/>
        <v>Computer</v>
      </c>
      <c r="C27" s="33">
        <f t="shared" ca="1" si="5"/>
        <v>17767</v>
      </c>
      <c r="F27" s="11" t="s">
        <v>29</v>
      </c>
      <c r="G27" s="20">
        <v>17.415530153088014</v>
      </c>
      <c r="I27" s="11" t="s">
        <v>19</v>
      </c>
      <c r="J27" s="8">
        <v>24593</v>
      </c>
      <c r="N27" s="11" t="s">
        <v>41</v>
      </c>
      <c r="O27" s="20">
        <v>2435826.86</v>
      </c>
      <c r="Q27" s="11" t="s">
        <v>41</v>
      </c>
      <c r="R27" s="20">
        <v>378758.86000000004</v>
      </c>
      <c r="T27" s="10" t="s">
        <v>33</v>
      </c>
      <c r="U27" s="8">
        <v>778611</v>
      </c>
      <c r="V27" s="8">
        <v>59880</v>
      </c>
      <c r="W27" s="8">
        <v>5509</v>
      </c>
      <c r="X27" s="25">
        <v>10.869486295153385</v>
      </c>
      <c r="Y27" s="22">
        <v>7.6906182933454581E-2</v>
      </c>
      <c r="AA27" s="25">
        <f t="shared" si="2"/>
        <v>5509</v>
      </c>
      <c r="AB27" s="22">
        <f t="shared" si="3"/>
        <v>7.6906182933454581E-2</v>
      </c>
    </row>
    <row r="28" spans="1:28" x14ac:dyDescent="0.25">
      <c r="F28" s="11" t="s">
        <v>38</v>
      </c>
      <c r="G28" s="20">
        <v>14.033715818217281</v>
      </c>
      <c r="I28" s="11" t="s">
        <v>41</v>
      </c>
      <c r="J28" s="8">
        <v>24076.5</v>
      </c>
      <c r="N28" s="10" t="s">
        <v>49</v>
      </c>
      <c r="O28" s="20">
        <v>58924427.505000003</v>
      </c>
      <c r="Q28" s="10" t="s">
        <v>49</v>
      </c>
      <c r="R28" s="20">
        <v>9574548.5050000008</v>
      </c>
      <c r="T28" s="10" t="s">
        <v>35</v>
      </c>
      <c r="U28" s="8">
        <v>598058.62</v>
      </c>
      <c r="V28" s="8">
        <v>100166.62</v>
      </c>
      <c r="W28" s="8">
        <v>7774</v>
      </c>
      <c r="X28" s="25">
        <v>12.884823771546179</v>
      </c>
      <c r="Y28" s="22">
        <v>0.16748629089235431</v>
      </c>
      <c r="AA28" s="25">
        <f t="shared" si="2"/>
        <v>7774</v>
      </c>
      <c r="AB28" s="22">
        <f t="shared" si="3"/>
        <v>0.16748629089235431</v>
      </c>
    </row>
    <row r="29" spans="1:28" x14ac:dyDescent="0.25">
      <c r="F29" s="10" t="s">
        <v>18</v>
      </c>
      <c r="G29" s="20">
        <v>16.226395135493032</v>
      </c>
      <c r="I29" s="10" t="s">
        <v>18</v>
      </c>
      <c r="J29" s="8">
        <v>125357</v>
      </c>
      <c r="T29" s="10" t="s">
        <v>36</v>
      </c>
      <c r="U29" s="8">
        <v>719706.14999999991</v>
      </c>
      <c r="V29" s="8">
        <v>181606.15000000002</v>
      </c>
      <c r="W29" s="8">
        <v>8314</v>
      </c>
      <c r="X29" s="25">
        <v>21.843414722155405</v>
      </c>
      <c r="Y29" s="22">
        <v>0.25233374759962807</v>
      </c>
      <c r="AA29" s="25">
        <f t="shared" si="2"/>
        <v>8314</v>
      </c>
      <c r="AB29" s="22">
        <f t="shared" si="3"/>
        <v>0.25233374759962807</v>
      </c>
    </row>
    <row r="30" spans="1:28" x14ac:dyDescent="0.25">
      <c r="F30" s="11" t="s">
        <v>41</v>
      </c>
      <c r="G30" s="20">
        <v>22.891085622760347</v>
      </c>
      <c r="I30" s="11" t="s">
        <v>38</v>
      </c>
      <c r="J30" s="8">
        <v>56770.5</v>
      </c>
      <c r="T30" s="10" t="s">
        <v>40</v>
      </c>
      <c r="U30" s="8">
        <v>1190749.4100000001</v>
      </c>
      <c r="V30" s="8">
        <v>162873.41</v>
      </c>
      <c r="W30" s="8">
        <v>6290</v>
      </c>
      <c r="X30" s="25">
        <v>25.89402384737679</v>
      </c>
      <c r="Y30" s="22">
        <v>0.13678227226667278</v>
      </c>
      <c r="AA30" s="25">
        <f t="shared" si="2"/>
        <v>6290</v>
      </c>
      <c r="AB30" s="22">
        <f t="shared" si="3"/>
        <v>0.13678227226667278</v>
      </c>
    </row>
    <row r="31" spans="1:28" x14ac:dyDescent="0.25">
      <c r="F31" s="11" t="s">
        <v>19</v>
      </c>
      <c r="G31" s="20">
        <v>17.087395236172792</v>
      </c>
      <c r="I31" s="11" t="s">
        <v>29</v>
      </c>
      <c r="J31" s="8">
        <v>25398.5</v>
      </c>
      <c r="T31" s="10" t="s">
        <v>45</v>
      </c>
      <c r="U31" s="8">
        <v>541667</v>
      </c>
      <c r="V31" s="8">
        <v>71741</v>
      </c>
      <c r="W31" s="8">
        <v>7091</v>
      </c>
      <c r="X31" s="25">
        <v>10.117190805246086</v>
      </c>
      <c r="Y31" s="22">
        <v>0.13244484157240519</v>
      </c>
      <c r="AA31" s="25">
        <f t="shared" si="2"/>
        <v>7091</v>
      </c>
      <c r="AB31" s="22">
        <f t="shared" si="3"/>
        <v>0.13244484157240519</v>
      </c>
    </row>
    <row r="32" spans="1:28" x14ac:dyDescent="0.25">
      <c r="F32" s="11" t="s">
        <v>38</v>
      </c>
      <c r="G32" s="20">
        <v>16.021634123356318</v>
      </c>
      <c r="I32" s="11" t="s">
        <v>19</v>
      </c>
      <c r="J32" s="8">
        <v>24770</v>
      </c>
      <c r="T32" s="10" t="s">
        <v>28</v>
      </c>
      <c r="U32" s="8">
        <v>1887885.52</v>
      </c>
      <c r="V32" s="8">
        <v>345216.52</v>
      </c>
      <c r="W32" s="8">
        <v>11934</v>
      </c>
      <c r="X32" s="25">
        <v>28.927142617730855</v>
      </c>
      <c r="Y32" s="22">
        <v>0.18285882080392249</v>
      </c>
      <c r="AA32" s="25">
        <f t="shared" si="2"/>
        <v>11934</v>
      </c>
      <c r="AB32" s="22">
        <f t="shared" si="3"/>
        <v>0.18285882080392249</v>
      </c>
    </row>
    <row r="33" spans="1:28" x14ac:dyDescent="0.25">
      <c r="F33" s="11" t="s">
        <v>29</v>
      </c>
      <c r="G33" s="20">
        <v>11.011407760300806</v>
      </c>
      <c r="I33" s="11" t="s">
        <v>41</v>
      </c>
      <c r="J33" s="8">
        <v>18418</v>
      </c>
      <c r="T33" s="10" t="s">
        <v>49</v>
      </c>
      <c r="U33" s="8">
        <v>10844572.279999999</v>
      </c>
      <c r="V33" s="8">
        <v>1711620.28</v>
      </c>
      <c r="W33" s="8">
        <v>89526</v>
      </c>
      <c r="X33" s="25">
        <v>19.118694904273617</v>
      </c>
      <c r="Y33" s="22">
        <v>0.15783197675362812</v>
      </c>
      <c r="AB33"/>
    </row>
    <row r="34" spans="1:28" x14ac:dyDescent="0.25">
      <c r="F34" s="10" t="s">
        <v>23</v>
      </c>
      <c r="G34" s="20">
        <v>19.118694904273617</v>
      </c>
      <c r="I34" s="10" t="s">
        <v>23</v>
      </c>
      <c r="J34" s="8">
        <v>89526</v>
      </c>
      <c r="T34" s="9"/>
      <c r="U34" s="9"/>
      <c r="V34" s="9"/>
      <c r="W34"/>
      <c r="X34" s="25"/>
      <c r="AB34"/>
    </row>
    <row r="35" spans="1:28" x14ac:dyDescent="0.25">
      <c r="F35" s="11" t="s">
        <v>19</v>
      </c>
      <c r="G35" s="20">
        <v>22.721444250576909</v>
      </c>
      <c r="I35" s="11" t="s">
        <v>38</v>
      </c>
      <c r="J35" s="8">
        <v>32889.5</v>
      </c>
      <c r="T35" s="26" t="s">
        <v>68</v>
      </c>
      <c r="U35" s="27">
        <f>AVERAGE(X21:X32)</f>
        <v>18.412583631263868</v>
      </c>
      <c r="V35" s="9" t="str">
        <f>ROUND(U35,0)&amp;"/"&amp;"Unit"</f>
        <v>18/Unit</v>
      </c>
      <c r="W35"/>
      <c r="X35" s="25" t="str">
        <f>T21</f>
        <v>January</v>
      </c>
      <c r="Y35">
        <f>U21</f>
        <v>484779.8</v>
      </c>
      <c r="Z35" s="22">
        <f>Y21</f>
        <v>0.13160573109688153</v>
      </c>
      <c r="AB35"/>
    </row>
    <row r="36" spans="1:28" x14ac:dyDescent="0.25">
      <c r="F36" s="11" t="s">
        <v>29</v>
      </c>
      <c r="G36" s="20">
        <v>20.385907982779187</v>
      </c>
      <c r="I36" s="11" t="s">
        <v>41</v>
      </c>
      <c r="J36" s="8">
        <v>19590.5</v>
      </c>
      <c r="M36" s="7" t="s">
        <v>48</v>
      </c>
      <c r="N36" t="s">
        <v>64</v>
      </c>
      <c r="O36"/>
      <c r="T36" s="9"/>
      <c r="U36" s="9"/>
      <c r="V36" s="9"/>
      <c r="W36"/>
      <c r="X36" s="25" t="str">
        <f t="shared" ref="X36:X46" si="6">T22</f>
        <v>February</v>
      </c>
      <c r="Y36">
        <f t="shared" ref="Y36:Y46" si="7">U22</f>
        <v>525597.62</v>
      </c>
      <c r="Z36" s="22">
        <f t="shared" ref="Z36:Z46" si="8">Y22</f>
        <v>0.25038092828502534</v>
      </c>
      <c r="AB36"/>
    </row>
    <row r="37" spans="1:28" x14ac:dyDescent="0.25">
      <c r="F37" s="11" t="s">
        <v>41</v>
      </c>
      <c r="G37" s="20">
        <v>19.333802608407137</v>
      </c>
      <c r="I37" s="11" t="s">
        <v>29</v>
      </c>
      <c r="J37" s="8">
        <v>19279</v>
      </c>
      <c r="M37" s="10" t="s">
        <v>27</v>
      </c>
      <c r="N37" s="8">
        <v>106754</v>
      </c>
      <c r="O37"/>
      <c r="T37" s="9" t="str">
        <f>INDEX(T21:X32,MATCH(U37,X21:X32,0),1)</f>
        <v>December</v>
      </c>
      <c r="U37" s="28">
        <f>MAX(X21:X32)</f>
        <v>28.927142617730855</v>
      </c>
      <c r="V37" s="9"/>
      <c r="W37"/>
      <c r="X37" s="25" t="str">
        <f t="shared" si="6"/>
        <v>March</v>
      </c>
      <c r="Y37">
        <f t="shared" si="7"/>
        <v>451755</v>
      </c>
      <c r="Z37" s="22">
        <f t="shared" si="8"/>
        <v>0.14365087270755167</v>
      </c>
    </row>
    <row r="38" spans="1:28" x14ac:dyDescent="0.25">
      <c r="F38" s="11" t="s">
        <v>38</v>
      </c>
      <c r="G38" s="20">
        <v>16.301543045652867</v>
      </c>
      <c r="I38" s="11" t="s">
        <v>19</v>
      </c>
      <c r="J38" s="8">
        <v>17767</v>
      </c>
      <c r="M38" s="10" t="s">
        <v>37</v>
      </c>
      <c r="N38" s="8">
        <v>110319</v>
      </c>
      <c r="O38"/>
      <c r="T38" s="9"/>
      <c r="U38" s="29"/>
      <c r="V38" s="9"/>
      <c r="X38" s="25" t="str">
        <f t="shared" si="6"/>
        <v>April</v>
      </c>
      <c r="Y38">
        <f t="shared" si="7"/>
        <v>1353872.46</v>
      </c>
      <c r="Z38" s="22">
        <f t="shared" si="8"/>
        <v>0.11084682230702884</v>
      </c>
    </row>
    <row r="39" spans="1:28" x14ac:dyDescent="0.25">
      <c r="F39" s="10" t="s">
        <v>49</v>
      </c>
      <c r="G39" s="20">
        <v>17.200225463821681</v>
      </c>
      <c r="I39" s="10" t="s">
        <v>49</v>
      </c>
      <c r="J39" s="8">
        <v>556652.5</v>
      </c>
      <c r="M39" s="10" t="s">
        <v>25</v>
      </c>
      <c r="N39" s="8">
        <v>124696.5</v>
      </c>
      <c r="O39"/>
      <c r="T39" s="9" t="str">
        <f>INDEX(T21:X32,MATCH(U39,W21:W32,0),1)</f>
        <v>December</v>
      </c>
      <c r="U39" s="29">
        <f>MAX(W21:W32)</f>
        <v>11934</v>
      </c>
      <c r="X39" s="25" t="str">
        <f t="shared" si="6"/>
        <v>May</v>
      </c>
      <c r="Y39">
        <f t="shared" si="7"/>
        <v>1286300.3999999999</v>
      </c>
      <c r="Z39" s="22">
        <f t="shared" si="8"/>
        <v>0.14730260520792809</v>
      </c>
    </row>
    <row r="40" spans="1:28" x14ac:dyDescent="0.25">
      <c r="M40" s="10" t="s">
        <v>18</v>
      </c>
      <c r="N40" s="8">
        <v>125357</v>
      </c>
      <c r="O40"/>
      <c r="T40" s="9"/>
      <c r="U40" s="29"/>
      <c r="X40" s="25" t="str">
        <f t="shared" si="6"/>
        <v>June</v>
      </c>
      <c r="Y40">
        <f t="shared" si="7"/>
        <v>1025589.3</v>
      </c>
      <c r="Z40" s="22">
        <f t="shared" si="8"/>
        <v>0.18554630006377795</v>
      </c>
    </row>
    <row r="41" spans="1:28" x14ac:dyDescent="0.25">
      <c r="A41" s="36" t="s">
        <v>73</v>
      </c>
      <c r="M41" s="10" t="s">
        <v>23</v>
      </c>
      <c r="N41" s="8">
        <v>89526</v>
      </c>
      <c r="O41"/>
      <c r="T41" s="9" t="s">
        <v>70</v>
      </c>
      <c r="U41" s="29">
        <f>SUM(W21:W32)</f>
        <v>89526</v>
      </c>
      <c r="X41" s="25" t="str">
        <f t="shared" si="6"/>
        <v>July</v>
      </c>
      <c r="Y41">
        <f t="shared" si="7"/>
        <v>778611</v>
      </c>
      <c r="Z41" s="22">
        <f t="shared" si="8"/>
        <v>7.6906182933454581E-2</v>
      </c>
    </row>
    <row r="42" spans="1:28" x14ac:dyDescent="0.25">
      <c r="A42" s="37"/>
      <c r="M42" s="10" t="s">
        <v>49</v>
      </c>
      <c r="N42" s="8">
        <v>556652.5</v>
      </c>
      <c r="O42"/>
      <c r="T42" s="7" t="s">
        <v>1</v>
      </c>
      <c r="U42" t="s">
        <v>23</v>
      </c>
      <c r="X42" s="25" t="str">
        <f t="shared" si="6"/>
        <v>August</v>
      </c>
      <c r="Y42">
        <f t="shared" si="7"/>
        <v>598058.62</v>
      </c>
      <c r="Z42" s="22">
        <f t="shared" si="8"/>
        <v>0.16748629089235431</v>
      </c>
    </row>
    <row r="43" spans="1:28" x14ac:dyDescent="0.25">
      <c r="A43" t="s">
        <v>74</v>
      </c>
      <c r="O43"/>
      <c r="X43" s="25" t="str">
        <f t="shared" si="6"/>
        <v>September</v>
      </c>
      <c r="Y43">
        <f t="shared" si="7"/>
        <v>719706.14999999991</v>
      </c>
      <c r="Z43" s="22">
        <f t="shared" si="8"/>
        <v>0.25233374759962807</v>
      </c>
    </row>
    <row r="44" spans="1:28" x14ac:dyDescent="0.25">
      <c r="A44" t="s">
        <v>75</v>
      </c>
      <c r="O44"/>
      <c r="T44" s="7" t="s">
        <v>48</v>
      </c>
      <c r="U44" t="s">
        <v>64</v>
      </c>
      <c r="V44" t="s">
        <v>50</v>
      </c>
      <c r="X44" s="25" t="str">
        <f t="shared" si="6"/>
        <v>October</v>
      </c>
      <c r="Y44">
        <f t="shared" si="7"/>
        <v>1190749.4100000001</v>
      </c>
      <c r="Z44" s="22">
        <f t="shared" si="8"/>
        <v>0.13678227226667278</v>
      </c>
    </row>
    <row r="45" spans="1:28" x14ac:dyDescent="0.25">
      <c r="A45" t="s">
        <v>76</v>
      </c>
      <c r="O45"/>
      <c r="T45" s="10" t="s">
        <v>31</v>
      </c>
      <c r="U45" s="25">
        <v>11009</v>
      </c>
      <c r="V45" s="25">
        <v>123034.68000000001</v>
      </c>
      <c r="X45" s="25" t="str">
        <f>T31</f>
        <v>November</v>
      </c>
      <c r="Y45">
        <f t="shared" si="7"/>
        <v>541667</v>
      </c>
      <c r="Z45" s="22">
        <f t="shared" si="8"/>
        <v>0.13244484157240519</v>
      </c>
    </row>
    <row r="46" spans="1:28" x14ac:dyDescent="0.25">
      <c r="A46" s="36" t="s">
        <v>77</v>
      </c>
      <c r="O46"/>
      <c r="T46" s="10" t="s">
        <v>32</v>
      </c>
      <c r="U46" s="25">
        <v>12272.5</v>
      </c>
      <c r="V46" s="25">
        <v>1505715</v>
      </c>
      <c r="X46" s="25" t="str">
        <f t="shared" si="6"/>
        <v>December</v>
      </c>
      <c r="Y46">
        <f t="shared" si="7"/>
        <v>1887885.52</v>
      </c>
      <c r="Z46" s="22">
        <f t="shared" si="8"/>
        <v>0.18285882080392249</v>
      </c>
    </row>
    <row r="47" spans="1:28" x14ac:dyDescent="0.25">
      <c r="A47" t="s">
        <v>78</v>
      </c>
      <c r="O47"/>
      <c r="T47" s="10" t="s">
        <v>17</v>
      </c>
      <c r="U47" s="25">
        <v>40650</v>
      </c>
      <c r="V47" s="25">
        <v>4327079.6000000006</v>
      </c>
    </row>
    <row r="48" spans="1:28" x14ac:dyDescent="0.25">
      <c r="A48" t="s">
        <v>79</v>
      </c>
      <c r="O48"/>
      <c r="T48" s="10" t="s">
        <v>24</v>
      </c>
      <c r="U48" s="25">
        <v>8687</v>
      </c>
      <c r="V48" s="25">
        <v>120513</v>
      </c>
    </row>
    <row r="49" spans="1:27" x14ac:dyDescent="0.25">
      <c r="A49" t="s">
        <v>80</v>
      </c>
      <c r="O49"/>
      <c r="T49" s="10" t="s">
        <v>34</v>
      </c>
      <c r="U49" s="25">
        <v>16907.5</v>
      </c>
      <c r="V49" s="25">
        <v>4768230</v>
      </c>
    </row>
    <row r="50" spans="1:27" x14ac:dyDescent="0.25">
      <c r="A50" t="s">
        <v>81</v>
      </c>
      <c r="O50"/>
      <c r="T50" s="10" t="s">
        <v>49</v>
      </c>
      <c r="U50" s="8">
        <v>89526</v>
      </c>
      <c r="V50" s="8">
        <v>10844572.280000001</v>
      </c>
    </row>
    <row r="51" spans="1:27" x14ac:dyDescent="0.25">
      <c r="A51" t="s">
        <v>82</v>
      </c>
      <c r="O51"/>
      <c r="U51"/>
    </row>
    <row r="52" spans="1:27" x14ac:dyDescent="0.25">
      <c r="A52" t="s">
        <v>83</v>
      </c>
      <c r="O52"/>
      <c r="T52" s="9" t="str">
        <f>INDEX(T45:U49,MATCH(U52,U45:U49,0),1)</f>
        <v>Government</v>
      </c>
      <c r="U52" s="9">
        <f>MAX(U45:U49)</f>
        <v>40650</v>
      </c>
    </row>
    <row r="53" spans="1:27" x14ac:dyDescent="0.25">
      <c r="A53" t="s">
        <v>84</v>
      </c>
      <c r="O53"/>
      <c r="U53" s="34" t="str">
        <f>ROUND((U52/1000),1) &amp; "K"</f>
        <v>40.7K</v>
      </c>
    </row>
    <row r="54" spans="1:27" x14ac:dyDescent="0.25">
      <c r="U54"/>
    </row>
    <row r="55" spans="1:27" x14ac:dyDescent="0.25">
      <c r="T55" s="9" t="str">
        <f>INDEX(T45:V49,MATCH(U55,V45:V49,0),1)</f>
        <v>Small Business</v>
      </c>
      <c r="U55" s="28">
        <f>MAX(V45:V49)</f>
        <v>4768230</v>
      </c>
    </row>
    <row r="56" spans="1:27" x14ac:dyDescent="0.25">
      <c r="T56" s="9"/>
      <c r="U56" s="34" t="str">
        <f>ROUND(U55/1000000,1) &amp; "M"</f>
        <v>4.8M</v>
      </c>
    </row>
    <row r="57" spans="1:27" x14ac:dyDescent="0.25">
      <c r="U57"/>
      <c r="X57" s="7" t="s">
        <v>48</v>
      </c>
      <c r="Y57" s="20" t="s">
        <v>85</v>
      </c>
      <c r="Z57" s="40" t="s">
        <v>86</v>
      </c>
      <c r="AA57" s="41" t="s">
        <v>87</v>
      </c>
    </row>
    <row r="58" spans="1:27" x14ac:dyDescent="0.25">
      <c r="U58"/>
      <c r="X58" s="10" t="s">
        <v>27</v>
      </c>
      <c r="Y58" s="20">
        <v>18.419275362318842</v>
      </c>
      <c r="Z58" s="38" t="str">
        <f>X58</f>
        <v>Ashley Thomas</v>
      </c>
      <c r="AA58" s="39">
        <f>Y58</f>
        <v>18.419275362318842</v>
      </c>
    </row>
    <row r="59" spans="1:27" x14ac:dyDescent="0.25">
      <c r="U59"/>
      <c r="X59" s="10" t="s">
        <v>37</v>
      </c>
      <c r="Y59" s="20">
        <v>17.90746031746032</v>
      </c>
      <c r="Z59" s="38" t="str">
        <f t="shared" ref="Z59:Z62" si="9">X59</f>
        <v>John Terry</v>
      </c>
      <c r="AA59" s="39">
        <f t="shared" ref="AA59:AA62" si="10">Y59</f>
        <v>17.90746031746032</v>
      </c>
    </row>
    <row r="60" spans="1:27" x14ac:dyDescent="0.25">
      <c r="U60"/>
      <c r="X60" s="10" t="s">
        <v>25</v>
      </c>
      <c r="Y60" s="20">
        <v>17.181343283582081</v>
      </c>
      <c r="Z60" s="38" t="str">
        <f t="shared" si="9"/>
        <v>Leo Paul</v>
      </c>
      <c r="AA60" s="39">
        <f t="shared" si="10"/>
        <v>17.181343283582081</v>
      </c>
    </row>
    <row r="61" spans="1:27" x14ac:dyDescent="0.25">
      <c r="U61"/>
      <c r="X61" s="10" t="s">
        <v>18</v>
      </c>
      <c r="Y61" s="20">
        <v>16.44140845070422</v>
      </c>
      <c r="Z61" s="38" t="str">
        <f t="shared" si="9"/>
        <v>Peter Jones</v>
      </c>
      <c r="AA61" s="39">
        <f t="shared" si="10"/>
        <v>16.44140845070422</v>
      </c>
    </row>
    <row r="62" spans="1:27" x14ac:dyDescent="0.25">
      <c r="X62" s="10" t="s">
        <v>23</v>
      </c>
      <c r="Y62" s="20">
        <v>19.708181818181817</v>
      </c>
      <c r="Z62" s="38" t="str">
        <f t="shared" si="9"/>
        <v>Shane Bond</v>
      </c>
      <c r="AA62" s="39">
        <f t="shared" si="10"/>
        <v>19.708181818181817</v>
      </c>
    </row>
    <row r="63" spans="1:27" x14ac:dyDescent="0.25">
      <c r="X63" s="10" t="s">
        <v>49</v>
      </c>
      <c r="Y63" s="20">
        <v>17.911696428571418</v>
      </c>
    </row>
  </sheetData>
  <mergeCells count="1">
    <mergeCell ref="T1:AC1"/>
  </mergeCells>
  <pageMargins left="0.7" right="0.7" top="0.75" bottom="0.75" header="0.3" footer="0.3"/>
  <pageSetup orientation="portrait" r:id="rId1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Analysis!V3:V14</xm:f>
              <xm:sqref>V17</xm:sqref>
            </x14:sparkline>
          </x14:sparklines>
        </x14:sparklineGroup>
        <x14:sparklineGroup type="column" displayEmptyCellsAs="gap" high="1" low="1" first="1" last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Analysis!U3:U14</xm:f>
              <xm:sqref>U17</xm:sqref>
            </x14:sparkline>
          </x14:sparklines>
        </x14:sparklineGroup>
        <x14:sparklineGroup displayEmptyCellsAs="gap">
          <x14:colorSeries theme="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Analysis!Y3:Y15</xm:f>
              <xm:sqref>Y17</xm:sqref>
            </x14:sparkline>
          </x14:sparklines>
        </x14:sparklineGroup>
        <x14:sparklineGroup type="column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Analysis!X3:X15</xm:f>
              <xm:sqref>X17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40"/>
  <sheetViews>
    <sheetView showGridLines="0" workbookViewId="0">
      <selection activeCell="J2" sqref="J2"/>
    </sheetView>
  </sheetViews>
  <sheetFormatPr defaultRowHeight="15" x14ac:dyDescent="0.25"/>
  <cols>
    <col min="4" max="4" width="17.28515625" bestFit="1" customWidth="1"/>
    <col min="5" max="5" width="22.7109375" bestFit="1" customWidth="1"/>
    <col min="6" max="6" width="6.5703125" customWidth="1"/>
    <col min="7" max="7" width="20.7109375" customWidth="1"/>
    <col min="9" max="9" width="14.85546875" bestFit="1" customWidth="1"/>
    <col min="10" max="10" width="20.7109375" customWidth="1"/>
    <col min="12" max="12" width="12.140625" customWidth="1"/>
  </cols>
  <sheetData>
    <row r="1" spans="1:12" ht="80.099999999999994" customHeight="1" x14ac:dyDescent="0.25">
      <c r="A1" s="13" t="s">
        <v>89</v>
      </c>
      <c r="B1" s="14" t="s">
        <v>54</v>
      </c>
      <c r="C1" s="14" t="s">
        <v>55</v>
      </c>
      <c r="D1" s="14" t="s">
        <v>56</v>
      </c>
      <c r="E1" s="15" t="s">
        <v>57</v>
      </c>
      <c r="F1" s="16">
        <f>MAX(A:A)</f>
        <v>5</v>
      </c>
      <c r="G1" s="14" t="s">
        <v>88</v>
      </c>
      <c r="I1" s="17" t="s">
        <v>58</v>
      </c>
      <c r="J1" s="9">
        <f>MAX(A:A)</f>
        <v>5</v>
      </c>
      <c r="L1" s="14"/>
    </row>
    <row r="2" spans="1:12" ht="80.099999999999994" customHeight="1" x14ac:dyDescent="0.25">
      <c r="A2">
        <v>1</v>
      </c>
      <c r="B2" s="10" t="s">
        <v>18</v>
      </c>
      <c r="C2" t="s">
        <v>19</v>
      </c>
      <c r="D2" t="s">
        <v>17</v>
      </c>
      <c r="E2" s="18" t="s">
        <v>59</v>
      </c>
      <c r="I2" s="17" t="str">
        <f>Analysis!I1</f>
        <v>Shane Bond</v>
      </c>
      <c r="J2" s="19"/>
      <c r="L2" s="10"/>
    </row>
    <row r="3" spans="1:12" ht="80.099999999999994" customHeight="1" x14ac:dyDescent="0.25">
      <c r="A3">
        <v>2</v>
      </c>
      <c r="B3" s="10" t="s">
        <v>23</v>
      </c>
      <c r="C3" t="s">
        <v>29</v>
      </c>
      <c r="D3" t="s">
        <v>24</v>
      </c>
      <c r="E3" t="s">
        <v>60</v>
      </c>
      <c r="L3" s="10"/>
    </row>
    <row r="4" spans="1:12" ht="80.099999999999994" customHeight="1" x14ac:dyDescent="0.25">
      <c r="A4">
        <v>3</v>
      </c>
      <c r="B4" s="10" t="s">
        <v>25</v>
      </c>
      <c r="C4" t="s">
        <v>38</v>
      </c>
      <c r="D4" t="s">
        <v>31</v>
      </c>
      <c r="E4" t="s">
        <v>61</v>
      </c>
      <c r="L4" s="10"/>
    </row>
    <row r="5" spans="1:12" ht="80.099999999999994" customHeight="1" x14ac:dyDescent="0.25">
      <c r="A5">
        <v>4</v>
      </c>
      <c r="B5" s="10" t="s">
        <v>27</v>
      </c>
      <c r="C5" t="s">
        <v>41</v>
      </c>
      <c r="D5" t="s">
        <v>32</v>
      </c>
      <c r="E5" t="s">
        <v>62</v>
      </c>
      <c r="L5" s="10"/>
    </row>
    <row r="6" spans="1:12" ht="80.099999999999994" customHeight="1" x14ac:dyDescent="0.25">
      <c r="A6">
        <v>5</v>
      </c>
      <c r="B6" s="10" t="s">
        <v>37</v>
      </c>
      <c r="D6" t="s">
        <v>34</v>
      </c>
      <c r="E6" t="s">
        <v>63</v>
      </c>
      <c r="L6" s="10"/>
    </row>
    <row r="7" spans="1:12" ht="80.099999999999994" customHeight="1" x14ac:dyDescent="0.25"/>
    <row r="8" spans="1:12" ht="80.099999999999994" customHeight="1" x14ac:dyDescent="0.25"/>
    <row r="9" spans="1:12" ht="80.099999999999994" customHeight="1" x14ac:dyDescent="0.25"/>
    <row r="10" spans="1:12" ht="80.099999999999994" customHeight="1" x14ac:dyDescent="0.25"/>
    <row r="11" spans="1:12" ht="80.099999999999994" customHeight="1" x14ac:dyDescent="0.25"/>
    <row r="12" spans="1:12" ht="80.099999999999994" customHeight="1" x14ac:dyDescent="0.25"/>
    <row r="13" spans="1:12" ht="80.099999999999994" customHeight="1" x14ac:dyDescent="0.25"/>
    <row r="14" spans="1:12" ht="80.099999999999994" customHeight="1" x14ac:dyDescent="0.25"/>
    <row r="15" spans="1:12" ht="80.099999999999994" customHeight="1" x14ac:dyDescent="0.25"/>
    <row r="16" spans="1:12" ht="80.099999999999994" customHeight="1" x14ac:dyDescent="0.25"/>
    <row r="17" ht="80.099999999999994" customHeight="1" x14ac:dyDescent="0.25"/>
    <row r="18" ht="80.099999999999994" customHeight="1" x14ac:dyDescent="0.25"/>
    <row r="19" ht="80.099999999999994" customHeight="1" x14ac:dyDescent="0.25"/>
    <row r="20" ht="80.099999999999994" customHeight="1" x14ac:dyDescent="0.25"/>
    <row r="21" ht="80.099999999999994" customHeight="1" x14ac:dyDescent="0.25"/>
    <row r="22" ht="80.099999999999994" customHeight="1" x14ac:dyDescent="0.25"/>
    <row r="23" ht="80.099999999999994" customHeight="1" x14ac:dyDescent="0.25"/>
    <row r="24" ht="80.099999999999994" customHeight="1" x14ac:dyDescent="0.25"/>
    <row r="25" ht="80.099999999999994" customHeight="1" x14ac:dyDescent="0.25"/>
    <row r="26" ht="80.099999999999994" customHeight="1" x14ac:dyDescent="0.25"/>
    <row r="27" ht="80.099999999999994" customHeight="1" x14ac:dyDescent="0.25"/>
    <row r="28" ht="80.099999999999994" customHeight="1" x14ac:dyDescent="0.25"/>
    <row r="29" ht="80.099999999999994" customHeight="1" x14ac:dyDescent="0.25"/>
    <row r="30" ht="80.099999999999994" customHeight="1" x14ac:dyDescent="0.25"/>
    <row r="31" ht="80.099999999999994" customHeight="1" x14ac:dyDescent="0.25"/>
    <row r="32" ht="80.099999999999994" customHeight="1" x14ac:dyDescent="0.25"/>
    <row r="33" ht="80.099999999999994" customHeight="1" x14ac:dyDescent="0.25"/>
    <row r="34" ht="80.099999999999994" customHeight="1" x14ac:dyDescent="0.25"/>
    <row r="35" ht="80.099999999999994" customHeight="1" x14ac:dyDescent="0.25"/>
    <row r="36" ht="80.099999999999994" customHeight="1" x14ac:dyDescent="0.25"/>
    <row r="37" ht="80.099999999999994" customHeight="1" x14ac:dyDescent="0.25"/>
    <row r="38" ht="80.099999999999994" customHeight="1" x14ac:dyDescent="0.25"/>
    <row r="39" ht="80.099999999999994" customHeight="1" x14ac:dyDescent="0.25"/>
    <row r="40" ht="80.099999999999994" customHeight="1" x14ac:dyDescent="0.25"/>
  </sheetData>
  <autoFilter ref="A1:G1"/>
  <hyperlinks>
    <hyperlink ref="E2" r:id="rId1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Sumarry</vt:lpstr>
      <vt:lpstr>Data</vt:lpstr>
      <vt:lpstr>Analysis</vt:lpstr>
      <vt:lpstr>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Digvijaysinh Zankat</dc:creator>
  <cp:lastModifiedBy>DELL</cp:lastModifiedBy>
  <dcterms:created xsi:type="dcterms:W3CDTF">2015-06-05T18:17:20Z</dcterms:created>
  <dcterms:modified xsi:type="dcterms:W3CDTF">2022-04-16T08:55:57Z</dcterms:modified>
</cp:coreProperties>
</file>